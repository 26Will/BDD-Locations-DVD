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tables/table12.xml" ContentType="application/vnd.openxmlformats-officedocument.spreadsheetml.table+xml"/>
  <Override PartName="/xl/queryTables/queryTable10.xml" ContentType="application/vnd.openxmlformats-officedocument.spreadsheetml.query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tables/table13.xml" ContentType="application/vnd.openxmlformats-officedocument.spreadsheetml.table+xml"/>
  <Override PartName="/xl/queryTables/queryTable1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Z:\SAE tableur\"/>
    </mc:Choice>
  </mc:AlternateContent>
  <xr:revisionPtr revIDLastSave="0" documentId="13_ncr:1_{5ACA0E7F-76BD-4EB0-A361-36F232D0D16A}" xr6:coauthVersionLast="47" xr6:coauthVersionMax="47" xr10:uidLastSave="{00000000-0000-0000-0000-000000000000}"/>
  <bookViews>
    <workbookView xWindow="-120" yWindow="-120" windowWidth="29040" windowHeight="15720" activeTab="7" xr2:uid="{0F8AFBD7-A171-4ACB-BFDC-7C45C18D2CDE}"/>
  </bookViews>
  <sheets>
    <sheet name="Explications" sheetId="10" r:id="rId1"/>
    <sheet name="Données" sheetId="2" r:id="rId2"/>
    <sheet name="Requête_SQL" sheetId="5" r:id="rId3"/>
    <sheet name="Schéma" sheetId="7" r:id="rId4"/>
    <sheet name="Catégorie_film" sheetId="1" r:id="rId5"/>
    <sheet name="Vision_clients" sheetId="3" r:id="rId6"/>
    <sheet name="Vision_location" sheetId="4" r:id="rId7"/>
    <sheet name="Conclusion" sheetId="6" r:id="rId8"/>
  </sheets>
  <definedNames>
    <definedName name="DonnéesExternes_1" localSheetId="1" hidden="1">Données!$D$3:$E$19</definedName>
    <definedName name="DonnéesExternes_10" localSheetId="1" hidden="1">Données!$AC$3:$AE$962</definedName>
    <definedName name="DonnéesExternes_2" localSheetId="1" hidden="1">Données!$B$3:$B$4</definedName>
    <definedName name="DonnéesExternes_3" localSheetId="1" hidden="1">Données!$G$3:$G$45</definedName>
    <definedName name="DonnéesExternes_4" localSheetId="1" hidden="1">Données!$I$3:$N$602</definedName>
    <definedName name="DonnéesExternes_6" localSheetId="1" hidden="1">Données!$P$3:$Q$10</definedName>
    <definedName name="DonnéesExternes_7" localSheetId="1" hidden="1">Données!$S$3:$T$7</definedName>
    <definedName name="DonnéesExternes_8" localSheetId="7" hidden="1">Conclusion!$F$12:$H$40</definedName>
    <definedName name="DonnéesExternes_8" localSheetId="1" hidden="1">Données!$V$3:$X$31</definedName>
    <definedName name="DonnéesExternes_8" localSheetId="6" hidden="1">Vision_location!$Q$7:$S$35</definedName>
    <definedName name="DonnéesExternes_9" localSheetId="1" hidden="1">Données!$Z$3:$AA$111</definedName>
  </definedNames>
  <calcPr calcId="191028"/>
  <pivotCaches>
    <pivotCache cacheId="27" r:id="rId9"/>
    <pivotCache cacheId="28" r:id="rId10"/>
    <pivotCache cacheId="29" r:id="rId11"/>
    <pivotCache cacheId="30"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4" i="6" l="1"/>
  <c r="S1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5847E5-844B-4D60-B74B-FBAE8F60D0B3}" keepAlive="1" name="Query - SQL  cours et exercices 2" description="Connexion à la requête « SQL  cours et exercices 2 » dans le classeur." type="5" refreshedVersion="0" background="1" saveData="1">
    <dbPr connection="Provider=Microsoft.Mashup.OleDb.1;Data Source=$Workbook$;Location=SQL  cours et exercices 2;Extended Properties=&quot;&quot;" command="SELECT * FROM [SQL  cours et exercices 2]"/>
  </connection>
  <connection id="2" xr16:uid="{5FE15EBA-9982-4623-A947-63693A4E64A1}" keepAlive="1" name="Requête - SQL  cours et exercices" description="Connexion à la requête « SQL  cours et exercices » dans le classeur." type="5" refreshedVersion="7" background="1" saveData="1">
    <dbPr connection="Provider=Microsoft.Mashup.OleDb.1;Data Source=$Workbook$;Location=&quot;SQL  cours et exercices&quot;;Extended Properties=&quot;&quot;" command="SELECT * FROM [SQL  cours et exercices]"/>
  </connection>
  <connection id="3" xr16:uid="{E30A19E7-6C2E-4F83-B41A-0CE42FEBE031}" keepAlive="1" name="Requête - SQL  cours et exercices (1)" description="Connexion à la requête « SQL  cours et exercices (1) » dans le classeur." type="5" refreshedVersion="0" background="1">
    <dbPr connection="Provider=Microsoft.Mashup.OleDb.1;Data Source=$Workbook$;Location=&quot;SQL  cours et exercices (1)&quot;;Extended Properties=&quot;&quot;" command="SELECT * FROM [SQL  cours et exercices (1)]"/>
  </connection>
  <connection id="4" xr16:uid="{A2C247D5-47B4-48BF-9D7C-EAA8B68608B1}" keepAlive="1" name="Requête - SQL  cours et exercices (10)" description="Connexion à la requête « SQL  cours et exercices (10) » dans le classeur." type="5" refreshedVersion="0" background="1">
    <dbPr connection="Provider=Microsoft.Mashup.OleDb.1;Data Source=$Workbook$;Location=&quot;SQL  cours et exercices (10)&quot;;Extended Properties=&quot;&quot;" command="SELECT * FROM [SQL  cours et exercices (10)]"/>
  </connection>
  <connection id="5" xr16:uid="{B5D8241D-FF1A-4569-8346-30EAEA4C078B}" keepAlive="1" name="Requête - SQL  cours et exercices (11)" description="Connexion à la requête « SQL  cours et exercices (11) » dans le classeur." type="5" refreshedVersion="7" background="1" saveData="1">
    <dbPr connection="Provider=Microsoft.Mashup.OleDb.1;Data Source=$Workbook$;Location=&quot;SQL  cours et exercices (11)&quot;;Extended Properties=&quot;&quot;" command="SELECT * FROM [SQL  cours et exercices (11)]"/>
  </connection>
  <connection id="6" xr16:uid="{302B408B-F894-4D3E-9766-DD446599731B}" keepAlive="1" name="Requête - SQL  cours et exercices (12)" description="Connexion à la requête « SQL  cours et exercices (12) » dans le classeur." type="5" refreshedVersion="7" background="1" saveData="1">
    <dbPr connection="Provider=Microsoft.Mashup.OleDb.1;Data Source=$Workbook$;Location=&quot;SQL  cours et exercices (12)&quot;;Extended Properties=&quot;&quot;" command="SELECT * FROM [SQL  cours et exercices (12)]"/>
  </connection>
  <connection id="7" xr16:uid="{ADE2554B-5A51-41F4-BB60-75585390678F}" keepAlive="1" name="Requête - SQL  cours et exercices (13)" description="Connexion à la requête « SQL  cours et exercices (13) » dans le classeur." type="5" refreshedVersion="7" background="1" saveData="1">
    <dbPr connection="Provider=Microsoft.Mashup.OleDb.1;Data Source=$Workbook$;Location=&quot;SQL  cours et exercices (13)&quot;;Extended Properties=&quot;&quot;" command="SELECT * FROM [SQL  cours et exercices (13)]"/>
  </connection>
  <connection id="8" xr16:uid="{A23CB834-C7BA-4EDF-9C1E-49B2C3219AB9}" keepAlive="1" name="Requête - SQL  cours et exercices (2)" description="Connexion à la requête « SQL  cours et exercices (2) » dans le classeur." type="5" refreshedVersion="7" background="1" saveData="1">
    <dbPr connection="Provider=Microsoft.Mashup.OleDb.1;Data Source=$Workbook$;Location=&quot;SQL  cours et exercices (2)&quot;;Extended Properties=&quot;&quot;" command="SELECT * FROM [SQL  cours et exercices (2)]"/>
  </connection>
  <connection id="9" xr16:uid="{ADB51764-18BD-4750-ABE5-AAD1AEAF3647}" keepAlive="1" name="Requête - SQL  cours et exercices (3)" description="Connexion à la requête « SQL  cours et exercices (3) » dans le classeur." type="5" refreshedVersion="7" background="1" saveData="1">
    <dbPr connection="Provider=Microsoft.Mashup.OleDb.1;Data Source=$Workbook$;Location=&quot;SQL  cours et exercices (3)&quot;;Extended Properties=&quot;&quot;" command="SELECT * FROM [SQL  cours et exercices (3)]"/>
  </connection>
  <connection id="10" xr16:uid="{D16B761D-5E8D-4A54-9CD1-6080F5062999}" keepAlive="1" name="Requête - SQL  cours et exercices (4)" description="Connexion à la requête « SQL  cours et exercices (4) » dans le classeur." type="5" refreshedVersion="7" background="1" saveData="1">
    <dbPr connection="Provider=Microsoft.Mashup.OleDb.1;Data Source=$Workbook$;Location=&quot;SQL  cours et exercices (4)&quot;;Extended Properties=&quot;&quot;" command="SELECT * FROM [SQL  cours et exercices (4)]"/>
  </connection>
  <connection id="11" xr16:uid="{D4DFCC6F-D747-4548-A8F5-AA0064DD44DD}" keepAlive="1" name="Requête - SQL  cours et exercices (5)" description="Connexion à la requête « SQL  cours et exercices (5) » dans le classeur." type="5" refreshedVersion="7" background="1" saveData="1">
    <dbPr connection="Provider=Microsoft.Mashup.OleDb.1;Data Source=$Workbook$;Location=&quot;SQL  cours et exercices (5)&quot;;Extended Properties=&quot;&quot;" command="SELECT * FROM [SQL  cours et exercices (5)]"/>
  </connection>
  <connection id="12" xr16:uid="{CB923365-264F-4093-8C6B-6693B754BEA2}" keepAlive="1" name="Requête - SQL  cours et exercices (6)" description="Connexion à la requête « SQL  cours et exercices (6) » dans le classeur." type="5" refreshedVersion="7" background="1" saveData="1">
    <dbPr connection="Provider=Microsoft.Mashup.OleDb.1;Data Source=$Workbook$;Location=&quot;SQL  cours et exercices (6)&quot;;Extended Properties=&quot;&quot;" command="SELECT * FROM [SQL  cours et exercices (6)]"/>
  </connection>
  <connection id="13" xr16:uid="{BCC573C6-A2EC-43BD-88D6-E938C8DC0F2C}" keepAlive="1" name="Requête - SQL  cours et exercices (7)" description="Connexion à la requête « SQL  cours et exercices (7) » dans le classeur." type="5" refreshedVersion="7" background="1" saveData="1">
    <dbPr connection="Provider=Microsoft.Mashup.OleDb.1;Data Source=$Workbook$;Location=&quot;SQL  cours et exercices (7)&quot;;Extended Properties=&quot;&quot;" command="SELECT * FROM [SQL  cours et exercices (7)]"/>
  </connection>
  <connection id="14" xr16:uid="{10E91D86-DF17-46C8-B88A-680A45FBB527}" keepAlive="1" name="Requête - SQL  cours et exercices (8)" description="Connexion à la requête « SQL  cours et exercices (8) » dans le classeur." type="5" refreshedVersion="7" background="1" saveData="1">
    <dbPr connection="Provider=Microsoft.Mashup.OleDb.1;Data Source=$Workbook$;Location=&quot;SQL  cours et exercices (8)&quot;;Extended Properties=&quot;&quot;" command="SELECT * FROM [SQL  cours et exercices (8)]"/>
  </connection>
  <connection id="15" xr16:uid="{48B0E59A-6AA4-4300-AED6-EFC706592433}" keepAlive="1" name="Requête - SQL  cours et exercices (9)" description="Connexion à la requête « SQL  cours et exercices (9) » dans le classeur." type="5" refreshedVersion="7" background="1" saveData="1">
    <dbPr connection="Provider=Microsoft.Mashup.OleDb.1;Data Source=$Workbook$;Location=&quot;SQL  cours et exercices (9)&quot;;Extended Properties=&quot;&quot;" command="SELECT * FROM [SQL  cours et exercices (9)]"/>
  </connection>
  <connection id="16" xr16:uid="{D63AE5E5-4C27-4394-AAD6-FC5266B10E60}" keepAlive="1" name="Requête - SQL  cours et exercices 2 (2)" description="Connexion à la requête « SQL  cours et exercices 2 (2) » dans le classeur." type="5" refreshedVersion="0" background="1" saveData="1">
    <dbPr connection="Provider=Microsoft.Mashup.OleDb.1;Data Source=$Workbook$;Location=&quot;SQL  cours et exercices 2 (2)&quot;;Extended Properties=&quot;&quot;" command="SELECT * FROM [SQL  cours et exercices 2 (2)]"/>
  </connection>
  <connection id="17" xr16:uid="{9991C4CA-D3D2-4429-BB3F-467EF744BB0F}" keepAlive="1" name="Requête - SQL  cours et exercices 2 (3)" description="Connexion à la requête « SQL  cours et exercices 2 (3) » dans le classeur." type="5" refreshedVersion="0" background="1" saveData="1">
    <dbPr connection="Provider=Microsoft.Mashup.OleDb.1;Data Source=$Workbook$;Location=&quot;SQL  cours et exercices 2 (3)&quot;;Extended Properties=&quot;&quot;" command="SELECT * FROM [SQL  cours et exercices 2 (3)]"/>
  </connection>
</connections>
</file>

<file path=xl/sharedStrings.xml><?xml version="1.0" encoding="utf-8"?>
<sst xmlns="http://schemas.openxmlformats.org/spreadsheetml/2006/main" count="7158" uniqueCount="2764">
  <si>
    <t>nb_locations</t>
  </si>
  <si>
    <t>categorie</t>
  </si>
  <si>
    <t>Nombre de films</t>
  </si>
  <si>
    <t>Titre sans location</t>
  </si>
  <si>
    <t>customer_id</t>
  </si>
  <si>
    <t>first_name</t>
  </si>
  <si>
    <t>last_name</t>
  </si>
  <si>
    <t>nombre_locations</t>
  </si>
  <si>
    <t>montant_total_depense</t>
  </si>
  <si>
    <t>date_premiere_location</t>
  </si>
  <si>
    <t>jour_semaine</t>
  </si>
  <si>
    <t>periode_journee</t>
  </si>
  <si>
    <t>Action</t>
  </si>
  <si>
    <t>ALICE FANTASIA</t>
  </si>
  <si>
    <t>ELEANOR</t>
  </si>
  <si>
    <t>HUNT</t>
  </si>
  <si>
    <t>Dimanche</t>
  </si>
  <si>
    <t>Après-midi (12h-17h)</t>
  </si>
  <si>
    <t>Animation</t>
  </si>
  <si>
    <t>APOLLO TEEN</t>
  </si>
  <si>
    <t>KARL</t>
  </si>
  <si>
    <t>SEAL</t>
  </si>
  <si>
    <t>Lundi</t>
  </si>
  <si>
    <t>Matin (6h-11h)</t>
  </si>
  <si>
    <t>Children</t>
  </si>
  <si>
    <t>ARGONAUTS TOWN</t>
  </si>
  <si>
    <t>CLARA</t>
  </si>
  <si>
    <t>SHAW</t>
  </si>
  <si>
    <t>Mardi</t>
  </si>
  <si>
    <t>Nuit (23h-6h)</t>
  </si>
  <si>
    <t>Classics</t>
  </si>
  <si>
    <t>ARK RIDGEMONT</t>
  </si>
  <si>
    <t>MARCIA</t>
  </si>
  <si>
    <t>DEAN</t>
  </si>
  <si>
    <t>Mercredi</t>
  </si>
  <si>
    <t>Soir (18h-23h)</t>
  </si>
  <si>
    <t>Comedy</t>
  </si>
  <si>
    <t>ARSENIC INDEPENDENCE</t>
  </si>
  <si>
    <t>TAMMY</t>
  </si>
  <si>
    <t>SANDERS</t>
  </si>
  <si>
    <t>Jeudi</t>
  </si>
  <si>
    <t>Documentary</t>
  </si>
  <si>
    <t>BOONDOCK BALLROOM</t>
  </si>
  <si>
    <t>SUE</t>
  </si>
  <si>
    <t>PETERS</t>
  </si>
  <si>
    <t>Vendredi</t>
  </si>
  <si>
    <t>Drama</t>
  </si>
  <si>
    <t>BUTCH PANTHER</t>
  </si>
  <si>
    <t>WESLEY</t>
  </si>
  <si>
    <t>BULL</t>
  </si>
  <si>
    <t>Samedi</t>
  </si>
  <si>
    <t>Family</t>
  </si>
  <si>
    <t>CATCH AMISTAD</t>
  </si>
  <si>
    <t>RHONDA</t>
  </si>
  <si>
    <t>KENNEDY</t>
  </si>
  <si>
    <t>Foreign</t>
  </si>
  <si>
    <t>CHINATOWN GLADIATOR</t>
  </si>
  <si>
    <t>MARION</t>
  </si>
  <si>
    <t>SNYDER</t>
  </si>
  <si>
    <t>Games</t>
  </si>
  <si>
    <t>CHOCOLATE DUCK</t>
  </si>
  <si>
    <t>TIM</t>
  </si>
  <si>
    <t>CARY</t>
  </si>
  <si>
    <t>Horror</t>
  </si>
  <si>
    <t>COMMANDMENTS EXPRESS</t>
  </si>
  <si>
    <t>ELIZABETH</t>
  </si>
  <si>
    <t>BROWN</t>
  </si>
  <si>
    <t>Music</t>
  </si>
  <si>
    <t>CROSSING DIVORCE</t>
  </si>
  <si>
    <t>DAISY</t>
  </si>
  <si>
    <t>BATES</t>
  </si>
  <si>
    <t>New</t>
  </si>
  <si>
    <t>CROWDS TELEMARK</t>
  </si>
  <si>
    <t>CURTIS</t>
  </si>
  <si>
    <t>IRBY</t>
  </si>
  <si>
    <t>Sci-Fi</t>
  </si>
  <si>
    <t>CRYSTAL BREAKING</t>
  </si>
  <si>
    <t>TOMMY</t>
  </si>
  <si>
    <t>COLLAZO</t>
  </si>
  <si>
    <t>Sports</t>
  </si>
  <si>
    <t>DAZED PUNK</t>
  </si>
  <si>
    <t>JUNE</t>
  </si>
  <si>
    <t>CARROLL</t>
  </si>
  <si>
    <t>Travel</t>
  </si>
  <si>
    <t>DELIVERANCE MULHOLLAND</t>
  </si>
  <si>
    <t>ELSIE</t>
  </si>
  <si>
    <t>KELLEY</t>
  </si>
  <si>
    <t>FIREHOUSE VIETNAM</t>
  </si>
  <si>
    <t>MARSHA</t>
  </si>
  <si>
    <t>DOUGLAS</t>
  </si>
  <si>
    <t>FLOATS GARDEN</t>
  </si>
  <si>
    <t>BRANDON</t>
  </si>
  <si>
    <t>HUEY</t>
  </si>
  <si>
    <t>FRANKENSTEIN STRANGER</t>
  </si>
  <si>
    <t>ANGELA</t>
  </si>
  <si>
    <t>HERNANDEZ</t>
  </si>
  <si>
    <t>GLADIATOR WESTWARD</t>
  </si>
  <si>
    <t>MARGIE</t>
  </si>
  <si>
    <t>WADE</t>
  </si>
  <si>
    <t>GUMP DATE</t>
  </si>
  <si>
    <t>ROGER</t>
  </si>
  <si>
    <t>QUINTANILLA</t>
  </si>
  <si>
    <t>HATE HANDICAP</t>
  </si>
  <si>
    <t>JUSTIN</t>
  </si>
  <si>
    <t>NGO</t>
  </si>
  <si>
    <t>HOCUS FRIDA</t>
  </si>
  <si>
    <t>RUSSELL</t>
  </si>
  <si>
    <t>BRINSON</t>
  </si>
  <si>
    <t>KENTUCKIAN GIANT</t>
  </si>
  <si>
    <t>ALEXANDER</t>
  </si>
  <si>
    <t>FENNELL</t>
  </si>
  <si>
    <t>KILL BROTHERHOOD</t>
  </si>
  <si>
    <t>MICHELLE</t>
  </si>
  <si>
    <t>CLARK</t>
  </si>
  <si>
    <t>MUPPET MILE</t>
  </si>
  <si>
    <t>DIANE</t>
  </si>
  <si>
    <t>COLLINS</t>
  </si>
  <si>
    <t>ORDER BETRAYED</t>
  </si>
  <si>
    <t>LOIS</t>
  </si>
  <si>
    <t>BUTLER</t>
  </si>
  <si>
    <t>PEARL DESTINY</t>
  </si>
  <si>
    <t>ALMA</t>
  </si>
  <si>
    <t>AUSTIN</t>
  </si>
  <si>
    <t>PERDITION FARGO</t>
  </si>
  <si>
    <t>ROSEMARY</t>
  </si>
  <si>
    <t>SCHMIDT</t>
  </si>
  <si>
    <t>PSYCHO SHRUNK</t>
  </si>
  <si>
    <t>PRISCILLA</t>
  </si>
  <si>
    <t>LOWE</t>
  </si>
  <si>
    <t>RAIDERS ANTITRUST</t>
  </si>
  <si>
    <t>NAOMI</t>
  </si>
  <si>
    <t>JENNINGS</t>
  </si>
  <si>
    <t>RAINBOW SHOCK</t>
  </si>
  <si>
    <t>HARRY</t>
  </si>
  <si>
    <t>ARCE</t>
  </si>
  <si>
    <t>ROOF CHAMPION</t>
  </si>
  <si>
    <t>BILLY</t>
  </si>
  <si>
    <t>POULIN</t>
  </si>
  <si>
    <t>SISTER FREDDY</t>
  </si>
  <si>
    <t>LOUIS</t>
  </si>
  <si>
    <t>LEONE</t>
  </si>
  <si>
    <t>SKY MIRACLE</t>
  </si>
  <si>
    <t>BOBBY</t>
  </si>
  <si>
    <t>BOUDREAU</t>
  </si>
  <si>
    <t>SUICIDES SILENCE</t>
  </si>
  <si>
    <t>MIKE</t>
  </si>
  <si>
    <t>WAY</t>
  </si>
  <si>
    <t>TADPOLE PARK</t>
  </si>
  <si>
    <t>LESLIE</t>
  </si>
  <si>
    <t>SEWARD</t>
  </si>
  <si>
    <t>TREASURE COMMAND</t>
  </si>
  <si>
    <t>JESSICA</t>
  </si>
  <si>
    <t>HALL</t>
  </si>
  <si>
    <t>VILLAIN DESPERATE</t>
  </si>
  <si>
    <t>MELISSA</t>
  </si>
  <si>
    <t>KING</t>
  </si>
  <si>
    <t>VOLUME HOUSE</t>
  </si>
  <si>
    <t>MARTHA</t>
  </si>
  <si>
    <t>GONZALEZ</t>
  </si>
  <si>
    <t>WAKE JAWS</t>
  </si>
  <si>
    <t>CATHERINE</t>
  </si>
  <si>
    <t>CAMPBELL</t>
  </si>
  <si>
    <t>WALLS ARTIST</t>
  </si>
  <si>
    <t>JANICE</t>
  </si>
  <si>
    <t>WARD</t>
  </si>
  <si>
    <t>SHERRY</t>
  </si>
  <si>
    <t>MARSHALL</t>
  </si>
  <si>
    <t>CARRIE</t>
  </si>
  <si>
    <t>PORTER</t>
  </si>
  <si>
    <t>HAZEL</t>
  </si>
  <si>
    <t>WARREN</t>
  </si>
  <si>
    <t>JOANNE</t>
  </si>
  <si>
    <t>ROBERTSON</t>
  </si>
  <si>
    <t>REGINA</t>
  </si>
  <si>
    <t>BERRY</t>
  </si>
  <si>
    <t>ANA</t>
  </si>
  <si>
    <t>BRADLEY</t>
  </si>
  <si>
    <t>GERTRUDE</t>
  </si>
  <si>
    <t>CASTILLO</t>
  </si>
  <si>
    <t>STACEY</t>
  </si>
  <si>
    <t>MONTGOMERY</t>
  </si>
  <si>
    <t>MINNIE</t>
  </si>
  <si>
    <t>ROMERO</t>
  </si>
  <si>
    <t>HEIDI</t>
  </si>
  <si>
    <t>LARSON</t>
  </si>
  <si>
    <t>RALPH</t>
  </si>
  <si>
    <t>MADRIGAL</t>
  </si>
  <si>
    <t>STEVE</t>
  </si>
  <si>
    <t>MACKENZIE</t>
  </si>
  <si>
    <t>JORGE</t>
  </si>
  <si>
    <t>OLIVARES</t>
  </si>
  <si>
    <t>BRETT</t>
  </si>
  <si>
    <t>CORNWELL</t>
  </si>
  <si>
    <t>CASEY</t>
  </si>
  <si>
    <t>MENA</t>
  </si>
  <si>
    <t>MORRIS</t>
  </si>
  <si>
    <t>MCCARTER</t>
  </si>
  <si>
    <t>MARIA</t>
  </si>
  <si>
    <t>MILLER</t>
  </si>
  <si>
    <t>ALICE</t>
  </si>
  <si>
    <t>STEWART</t>
  </si>
  <si>
    <t>JUDITH</t>
  </si>
  <si>
    <t>COX</t>
  </si>
  <si>
    <t>SARA</t>
  </si>
  <si>
    <t>PERRY</t>
  </si>
  <si>
    <t>JACQUELINE</t>
  </si>
  <si>
    <t>LONG</t>
  </si>
  <si>
    <t>CRYSTAL</t>
  </si>
  <si>
    <t>FORD</t>
  </si>
  <si>
    <t>GRACE</t>
  </si>
  <si>
    <t>ELLIS</t>
  </si>
  <si>
    <t>BERNICE</t>
  </si>
  <si>
    <t>WILLIS</t>
  </si>
  <si>
    <t>JOY</t>
  </si>
  <si>
    <t>GEORGE</t>
  </si>
  <si>
    <t>TANYA</t>
  </si>
  <si>
    <t>GILBERT</t>
  </si>
  <si>
    <t>SHERRI</t>
  </si>
  <si>
    <t>RHODES</t>
  </si>
  <si>
    <t>LINTON</t>
  </si>
  <si>
    <t>SHAWN</t>
  </si>
  <si>
    <t>HEATON</t>
  </si>
  <si>
    <t>BARRY</t>
  </si>
  <si>
    <t>LOVELACE</t>
  </si>
  <si>
    <t>JIM</t>
  </si>
  <si>
    <t>REA</t>
  </si>
  <si>
    <t>ALEX</t>
  </si>
  <si>
    <t>GRESHAM</t>
  </si>
  <si>
    <t>SHERROD</t>
  </si>
  <si>
    <t>ARNOLD</t>
  </si>
  <si>
    <t>HAVENS</t>
  </si>
  <si>
    <t>JESSIE</t>
  </si>
  <si>
    <t>MILAM</t>
  </si>
  <si>
    <t>MARY</t>
  </si>
  <si>
    <t>SMITH</t>
  </si>
  <si>
    <t>HELEN</t>
  </si>
  <si>
    <t>HARRIS</t>
  </si>
  <si>
    <t>CYNTHIA</t>
  </si>
  <si>
    <t>YOUNG</t>
  </si>
  <si>
    <t>VIRGINIA</t>
  </si>
  <si>
    <t>GREEN</t>
  </si>
  <si>
    <t>JULIA</t>
  </si>
  <si>
    <t>FLORES</t>
  </si>
  <si>
    <t>SYLVIA</t>
  </si>
  <si>
    <t>ORTIZ</t>
  </si>
  <si>
    <t>THELMA</t>
  </si>
  <si>
    <t>MURRAY</t>
  </si>
  <si>
    <t>ETHEL</t>
  </si>
  <si>
    <t>WEBB</t>
  </si>
  <si>
    <t>MARJORIE</t>
  </si>
  <si>
    <t>TUCKER</t>
  </si>
  <si>
    <t>DEBBIE</t>
  </si>
  <si>
    <t>REYES</t>
  </si>
  <si>
    <t>VERONICA</t>
  </si>
  <si>
    <t>STONE</t>
  </si>
  <si>
    <t>SALLY</t>
  </si>
  <si>
    <t>PIERCE</t>
  </si>
  <si>
    <t>TONYA</t>
  </si>
  <si>
    <t>CHAPMAN</t>
  </si>
  <si>
    <t>GLENDA</t>
  </si>
  <si>
    <t>FRAZIER</t>
  </si>
  <si>
    <t>VIOLA</t>
  </si>
  <si>
    <t>HANSON</t>
  </si>
  <si>
    <t>COURTNEY</t>
  </si>
  <si>
    <t>DAY</t>
  </si>
  <si>
    <t>MAXINE</t>
  </si>
  <si>
    <t>SILVA</t>
  </si>
  <si>
    <t>LENA</t>
  </si>
  <si>
    <t>JENSEN</t>
  </si>
  <si>
    <t>OLGA</t>
  </si>
  <si>
    <t>JIMENEZ</t>
  </si>
  <si>
    <t>CHARLES</t>
  </si>
  <si>
    <t>KOWALSKI</t>
  </si>
  <si>
    <t>FRANK</t>
  </si>
  <si>
    <t>WAGGONER</t>
  </si>
  <si>
    <t>HAROLD</t>
  </si>
  <si>
    <t>MARTINO</t>
  </si>
  <si>
    <t>ARTHUR</t>
  </si>
  <si>
    <t>SIMPKINS</t>
  </si>
  <si>
    <t>NICHOLAS</t>
  </si>
  <si>
    <t>BARFIELD</t>
  </si>
  <si>
    <t>LEONARD</t>
  </si>
  <si>
    <t>SCHOFIELD</t>
  </si>
  <si>
    <t>NATHAN</t>
  </si>
  <si>
    <t>RUNYON</t>
  </si>
  <si>
    <t>LEROY</t>
  </si>
  <si>
    <t>BUSTAMANTE</t>
  </si>
  <si>
    <t>TOM</t>
  </si>
  <si>
    <t>MILNER</t>
  </si>
  <si>
    <t>GORDON</t>
  </si>
  <si>
    <t>ALLARD</t>
  </si>
  <si>
    <t>ANGEL</t>
  </si>
  <si>
    <t>BARCLAY</t>
  </si>
  <si>
    <t>MITCHELL</t>
  </si>
  <si>
    <t>WESTMORELAND</t>
  </si>
  <si>
    <t>NEIL</t>
  </si>
  <si>
    <t>RENNER</t>
  </si>
  <si>
    <t>JAVIER</t>
  </si>
  <si>
    <t>ELROD</t>
  </si>
  <si>
    <t>GUY</t>
  </si>
  <si>
    <t>BROWNLEE</t>
  </si>
  <si>
    <t>DAVE</t>
  </si>
  <si>
    <t>GARDINER</t>
  </si>
  <si>
    <t>SHIRLEY</t>
  </si>
  <si>
    <t>ALLEN</t>
  </si>
  <si>
    <t>LORI</t>
  </si>
  <si>
    <t>WOOD</t>
  </si>
  <si>
    <t>GLADYS</t>
  </si>
  <si>
    <t>HAMILTON</t>
  </si>
  <si>
    <t>DARLENE</t>
  </si>
  <si>
    <t>ROSE</t>
  </si>
  <si>
    <t>HOLLY</t>
  </si>
  <si>
    <t>FOX</t>
  </si>
  <si>
    <t>ELLA</t>
  </si>
  <si>
    <t>OLIVER</t>
  </si>
  <si>
    <t>KRISTIN</t>
  </si>
  <si>
    <t>JOHNSTON</t>
  </si>
  <si>
    <t>VICKIE</t>
  </si>
  <si>
    <t>BREWER</t>
  </si>
  <si>
    <t>CHRISTY</t>
  </si>
  <si>
    <t>VARGAS</t>
  </si>
  <si>
    <t>DIANNE</t>
  </si>
  <si>
    <t>SHELTON</t>
  </si>
  <si>
    <t>MAE</t>
  </si>
  <si>
    <t>FLETCHER</t>
  </si>
  <si>
    <t>JOHN</t>
  </si>
  <si>
    <t>FARNSWORTH</t>
  </si>
  <si>
    <t>CHRISTOPHER</t>
  </si>
  <si>
    <t>GRECO</t>
  </si>
  <si>
    <t>MATTHEW</t>
  </si>
  <si>
    <t>MAHAN</t>
  </si>
  <si>
    <t>PATRICK</t>
  </si>
  <si>
    <t>NEWSOM</t>
  </si>
  <si>
    <t>LAWRENCE</t>
  </si>
  <si>
    <t>LAWTON</t>
  </si>
  <si>
    <t>PHILIP</t>
  </si>
  <si>
    <t>CAUSEY</t>
  </si>
  <si>
    <t>JEFFERY</t>
  </si>
  <si>
    <t>PINSON</t>
  </si>
  <si>
    <t>THEODORE</t>
  </si>
  <si>
    <t>CULP</t>
  </si>
  <si>
    <t>ZACHARY</t>
  </si>
  <si>
    <t>HITE</t>
  </si>
  <si>
    <t>RAMON</t>
  </si>
  <si>
    <t>CHOATE</t>
  </si>
  <si>
    <t>DUANE</t>
  </si>
  <si>
    <t>TUBBS</t>
  </si>
  <si>
    <t>SHARON</t>
  </si>
  <si>
    <t>ROBINSON</t>
  </si>
  <si>
    <t>SARAH</t>
  </si>
  <si>
    <t>LEWIS</t>
  </si>
  <si>
    <t>CAROLYN</t>
  </si>
  <si>
    <t>PEREZ</t>
  </si>
  <si>
    <t>HEATHER</t>
  </si>
  <si>
    <t>GLORIA</t>
  </si>
  <si>
    <t>COOK</t>
  </si>
  <si>
    <t>KATHY</t>
  </si>
  <si>
    <t>JAMES</t>
  </si>
  <si>
    <t>THERESA</t>
  </si>
  <si>
    <t>WATSON</t>
  </si>
  <si>
    <t>MARILYN</t>
  </si>
  <si>
    <t>ROSS</t>
  </si>
  <si>
    <t>WANDA</t>
  </si>
  <si>
    <t>PATTERSON</t>
  </si>
  <si>
    <t>FLORENCE</t>
  </si>
  <si>
    <t>WOODS</t>
  </si>
  <si>
    <t>TRACY</t>
  </si>
  <si>
    <t>COLE</t>
  </si>
  <si>
    <t>ROSA</t>
  </si>
  <si>
    <t>REYNOLDS</t>
  </si>
  <si>
    <t>WENDY</t>
  </si>
  <si>
    <t>HARRISON</t>
  </si>
  <si>
    <t>MONICA</t>
  </si>
  <si>
    <t>HICKS</t>
  </si>
  <si>
    <t>JUANITA</t>
  </si>
  <si>
    <t>MASON</t>
  </si>
  <si>
    <t>MICHELE</t>
  </si>
  <si>
    <t>GRANT</t>
  </si>
  <si>
    <t>GERALDINE</t>
  </si>
  <si>
    <t>PERKINS</t>
  </si>
  <si>
    <t>MABEL</t>
  </si>
  <si>
    <t>HOLLAND</t>
  </si>
  <si>
    <t>CASSANDRA</t>
  </si>
  <si>
    <t>WALTERS</t>
  </si>
  <si>
    <t>CAROLE</t>
  </si>
  <si>
    <t>BARNETT</t>
  </si>
  <si>
    <t>VIOLET</t>
  </si>
  <si>
    <t>RODRIQUEZ</t>
  </si>
  <si>
    <t>RAMONA</t>
  </si>
  <si>
    <t>HALE</t>
  </si>
  <si>
    <t>GANNON</t>
  </si>
  <si>
    <t>JOSEPH</t>
  </si>
  <si>
    <t>RONALD</t>
  </si>
  <si>
    <t>WEINER</t>
  </si>
  <si>
    <t>RAYMOND</t>
  </si>
  <si>
    <t>MCWHORTER</t>
  </si>
  <si>
    <t>JOSHUA</t>
  </si>
  <si>
    <t>MARK</t>
  </si>
  <si>
    <t>WALTER</t>
  </si>
  <si>
    <t>PERRYMAN</t>
  </si>
  <si>
    <t>RYAN</t>
  </si>
  <si>
    <t>SALISBURY</t>
  </si>
  <si>
    <t>GERALD</t>
  </si>
  <si>
    <t>FULTZ</t>
  </si>
  <si>
    <t>CRAIG</t>
  </si>
  <si>
    <t>MORRELL</t>
  </si>
  <si>
    <t>CLARENCE</t>
  </si>
  <si>
    <t>GAMEZ</t>
  </si>
  <si>
    <t>STANLEY</t>
  </si>
  <si>
    <t>SCROGGINS</t>
  </si>
  <si>
    <t>MANUEL</t>
  </si>
  <si>
    <t>MURRELL</t>
  </si>
  <si>
    <t>JEFF</t>
  </si>
  <si>
    <t>EAST</t>
  </si>
  <si>
    <t>KYLE</t>
  </si>
  <si>
    <t>SPURLOCK</t>
  </si>
  <si>
    <t>TROY</t>
  </si>
  <si>
    <t>QUIGLEY</t>
  </si>
  <si>
    <t>MARCUS</t>
  </si>
  <si>
    <t>HIDALGO</t>
  </si>
  <si>
    <t>GREG</t>
  </si>
  <si>
    <t>ROBINS</t>
  </si>
  <si>
    <t>ROBERTO</t>
  </si>
  <si>
    <t>VU</t>
  </si>
  <si>
    <t>MARC</t>
  </si>
  <si>
    <t>OUTLAW</t>
  </si>
  <si>
    <t>JORDAN</t>
  </si>
  <si>
    <t>ARCHULETA</t>
  </si>
  <si>
    <t>SALVADOR</t>
  </si>
  <si>
    <t>TEEL</t>
  </si>
  <si>
    <t>TERRENCE</t>
  </si>
  <si>
    <t>GUNDERSON</t>
  </si>
  <si>
    <t>DEBORAH</t>
  </si>
  <si>
    <t>WALKER</t>
  </si>
  <si>
    <t>AMY</t>
  </si>
  <si>
    <t>LOPEZ</t>
  </si>
  <si>
    <t>DEBRA</t>
  </si>
  <si>
    <t>NELSON</t>
  </si>
  <si>
    <t>JULIE</t>
  </si>
  <si>
    <t>SANCHEZ</t>
  </si>
  <si>
    <t>TERESA</t>
  </si>
  <si>
    <t>ROGERS</t>
  </si>
  <si>
    <t>CINDY</t>
  </si>
  <si>
    <t>FISHER</t>
  </si>
  <si>
    <t>JAMIE</t>
  </si>
  <si>
    <t>RICE</t>
  </si>
  <si>
    <t>CATHY</t>
  </si>
  <si>
    <t>SPENCER</t>
  </si>
  <si>
    <t>AUDREY</t>
  </si>
  <si>
    <t>RAY</t>
  </si>
  <si>
    <t>DANA</t>
  </si>
  <si>
    <t>HART</t>
  </si>
  <si>
    <t>TERRY</t>
  </si>
  <si>
    <t>CARLSON</t>
  </si>
  <si>
    <t>HILDA</t>
  </si>
  <si>
    <t>HOPKINS</t>
  </si>
  <si>
    <t>JENNIE</t>
  </si>
  <si>
    <t>NINA</t>
  </si>
  <si>
    <t>SOTO</t>
  </si>
  <si>
    <t>BECKY</t>
  </si>
  <si>
    <t>MILES</t>
  </si>
  <si>
    <t>MICHAEL</t>
  </si>
  <si>
    <t>SILVERMAN</t>
  </si>
  <si>
    <t>STEVEN</t>
  </si>
  <si>
    <t>CURLEY</t>
  </si>
  <si>
    <t>JERRY</t>
  </si>
  <si>
    <t>JORDON</t>
  </si>
  <si>
    <t>JOE</t>
  </si>
  <si>
    <t>GILLILAND</t>
  </si>
  <si>
    <t>ROY</t>
  </si>
  <si>
    <t>WHITING</t>
  </si>
  <si>
    <t>TODD</t>
  </si>
  <si>
    <t>TAN</t>
  </si>
  <si>
    <t>JIMMY</t>
  </si>
  <si>
    <t>SCHRADER</t>
  </si>
  <si>
    <t>CLIFFORD</t>
  </si>
  <si>
    <t>BOWENS</t>
  </si>
  <si>
    <t>MIGUEL</t>
  </si>
  <si>
    <t>BETANCOURT</t>
  </si>
  <si>
    <t>ALVIN</t>
  </si>
  <si>
    <t>DELOACH</t>
  </si>
  <si>
    <t>HERMAN</t>
  </si>
  <si>
    <t>DEVORE</t>
  </si>
  <si>
    <t>MAURICE</t>
  </si>
  <si>
    <t>CRAWLEY</t>
  </si>
  <si>
    <t>CLYDE</t>
  </si>
  <si>
    <t>TOBIAS</t>
  </si>
  <si>
    <t>ERIK</t>
  </si>
  <si>
    <t>GUILLEN</t>
  </si>
  <si>
    <t>TED</t>
  </si>
  <si>
    <t>BREAUX</t>
  </si>
  <si>
    <t>KEN</t>
  </si>
  <si>
    <t>PREWITT</t>
  </si>
  <si>
    <t>JAIME</t>
  </si>
  <si>
    <t>NETTLES</t>
  </si>
  <si>
    <t>BYRON</t>
  </si>
  <si>
    <t>BOX</t>
  </si>
  <si>
    <t>ISAAC</t>
  </si>
  <si>
    <t>OGLESBY</t>
  </si>
  <si>
    <t>OCAMPO</t>
  </si>
  <si>
    <t>TERRANCE</t>
  </si>
  <si>
    <t>ROUSH</t>
  </si>
  <si>
    <t>JENNIFER</t>
  </si>
  <si>
    <t>DAVIS</t>
  </si>
  <si>
    <t>NANCY</t>
  </si>
  <si>
    <t>THOMAS</t>
  </si>
  <si>
    <t>BETTY</t>
  </si>
  <si>
    <t>WHITE</t>
  </si>
  <si>
    <t>SANDRA</t>
  </si>
  <si>
    <t>MARTIN</t>
  </si>
  <si>
    <t>JOYCE</t>
  </si>
  <si>
    <t>EDWARDS</t>
  </si>
  <si>
    <t>EVELYN</t>
  </si>
  <si>
    <t>MORGAN</t>
  </si>
  <si>
    <t>JANE</t>
  </si>
  <si>
    <t>BENNETT</t>
  </si>
  <si>
    <t>RUBY</t>
  </si>
  <si>
    <t>WASHINGTON</t>
  </si>
  <si>
    <t>TINA</t>
  </si>
  <si>
    <t>SIMMONS</t>
  </si>
  <si>
    <t>ELLEN</t>
  </si>
  <si>
    <t>SIMPSON</t>
  </si>
  <si>
    <t>ESTHER</t>
  </si>
  <si>
    <t>CRAWFORD</t>
  </si>
  <si>
    <t>LUCILLE</t>
  </si>
  <si>
    <t>HOLMES</t>
  </si>
  <si>
    <t>LYNN</t>
  </si>
  <si>
    <t>PAYNE</t>
  </si>
  <si>
    <t>BRITTANY</t>
  </si>
  <si>
    <t>RILEY</t>
  </si>
  <si>
    <t>GINA</t>
  </si>
  <si>
    <t>WILLIAMSON</t>
  </si>
  <si>
    <t>BESSIE</t>
  </si>
  <si>
    <t>MORRISON</t>
  </si>
  <si>
    <t>PATSY</t>
  </si>
  <si>
    <t>DAVIDSON</t>
  </si>
  <si>
    <t>NORA</t>
  </si>
  <si>
    <t>HERRERA</t>
  </si>
  <si>
    <t>BRANDY</t>
  </si>
  <si>
    <t>GRAVES</t>
  </si>
  <si>
    <t>FELICIA</t>
  </si>
  <si>
    <t>SUTTON</t>
  </si>
  <si>
    <t>SONIA</t>
  </si>
  <si>
    <t>GREGORY</t>
  </si>
  <si>
    <t>KRISTINA</t>
  </si>
  <si>
    <t>CHAMBERS</t>
  </si>
  <si>
    <t>EDWARD</t>
  </si>
  <si>
    <t>BAUGH</t>
  </si>
  <si>
    <t>JASON</t>
  </si>
  <si>
    <t>MORRISSEY</t>
  </si>
  <si>
    <t>STEPHEN</t>
  </si>
  <si>
    <t>QUALLS</t>
  </si>
  <si>
    <t>DENNIS</t>
  </si>
  <si>
    <t>GILMAN</t>
  </si>
  <si>
    <t>JEREMY</t>
  </si>
  <si>
    <t>HURTADO</t>
  </si>
  <si>
    <t>RANDY</t>
  </si>
  <si>
    <t>GAITHER</t>
  </si>
  <si>
    <t>BRYAN</t>
  </si>
  <si>
    <t>HARDISON</t>
  </si>
  <si>
    <t>MARIO</t>
  </si>
  <si>
    <t>CHEATHAM</t>
  </si>
  <si>
    <t>BILL</t>
  </si>
  <si>
    <t>GAVIN</t>
  </si>
  <si>
    <t>DEREK</t>
  </si>
  <si>
    <t>BLAKELY</t>
  </si>
  <si>
    <t>SLEDGE</t>
  </si>
  <si>
    <t>REGINALD</t>
  </si>
  <si>
    <t>KINDER</t>
  </si>
  <si>
    <t>NATHANIEL</t>
  </si>
  <si>
    <t>ADAM</t>
  </si>
  <si>
    <t>ANDRE</t>
  </si>
  <si>
    <t>RAPP</t>
  </si>
  <si>
    <t>JIMMIE</t>
  </si>
  <si>
    <t>EGGLESTON</t>
  </si>
  <si>
    <t>EVERETT</t>
  </si>
  <si>
    <t>BANDA</t>
  </si>
  <si>
    <t>JULIAN</t>
  </si>
  <si>
    <t>VEST</t>
  </si>
  <si>
    <t>HERRMANN</t>
  </si>
  <si>
    <t>ENRIQUE</t>
  </si>
  <si>
    <t>FORSYTHE</t>
  </si>
  <si>
    <t>PATRICIA</t>
  </si>
  <si>
    <t>JOHNSON</t>
  </si>
  <si>
    <t>KAREN</t>
  </si>
  <si>
    <t>JACKSON</t>
  </si>
  <si>
    <t>KATHLEEN</t>
  </si>
  <si>
    <t>ADAMS</t>
  </si>
  <si>
    <t>AMANDA</t>
  </si>
  <si>
    <t>CARTER</t>
  </si>
  <si>
    <t>JANET</t>
  </si>
  <si>
    <t>PHILLIPS</t>
  </si>
  <si>
    <t>JEAN</t>
  </si>
  <si>
    <t>BELL</t>
  </si>
  <si>
    <t>CHERYL</t>
  </si>
  <si>
    <t>MURPHY</t>
  </si>
  <si>
    <t>DENISE</t>
  </si>
  <si>
    <t>KELLY</t>
  </si>
  <si>
    <t>DIANA</t>
  </si>
  <si>
    <t>VICTORIA</t>
  </si>
  <si>
    <t>GIBSON</t>
  </si>
  <si>
    <t>PAULINE</t>
  </si>
  <si>
    <t>HENRY</t>
  </si>
  <si>
    <t>AMBER</t>
  </si>
  <si>
    <t>DIXON</t>
  </si>
  <si>
    <t>MEGAN</t>
  </si>
  <si>
    <t>PALMER</t>
  </si>
  <si>
    <t>ERIN</t>
  </si>
  <si>
    <t>DUNN</t>
  </si>
  <si>
    <t>YOLANDA</t>
  </si>
  <si>
    <t>WEAVER</t>
  </si>
  <si>
    <t>JEANNE</t>
  </si>
  <si>
    <t>LAWSON</t>
  </si>
  <si>
    <t>TERRI</t>
  </si>
  <si>
    <t>VASQUEZ</t>
  </si>
  <si>
    <t>CHARLENE</t>
  </si>
  <si>
    <t>ALVAREZ</t>
  </si>
  <si>
    <t>ALLISON</t>
  </si>
  <si>
    <t>TRACEY</t>
  </si>
  <si>
    <t>BARRETT</t>
  </si>
  <si>
    <t>JENNY</t>
  </si>
  <si>
    <t>CASTRO</t>
  </si>
  <si>
    <t>VELMA</t>
  </si>
  <si>
    <t>LUCAS</t>
  </si>
  <si>
    <t>MISTY</t>
  </si>
  <si>
    <t>LAMBERT</t>
  </si>
  <si>
    <t>ERIC</t>
  </si>
  <si>
    <t>ROBERT</t>
  </si>
  <si>
    <t>ANDREW</t>
  </si>
  <si>
    <t>PURDY</t>
  </si>
  <si>
    <t>BALES</t>
  </si>
  <si>
    <t>EARL</t>
  </si>
  <si>
    <t>SHANKS</t>
  </si>
  <si>
    <t>DALE</t>
  </si>
  <si>
    <t>RATCLIFF</t>
  </si>
  <si>
    <t>LEE</t>
  </si>
  <si>
    <t>HAWKS</t>
  </si>
  <si>
    <t>MOTLEY</t>
  </si>
  <si>
    <t>EDDIE</t>
  </si>
  <si>
    <t>TOMLIN</t>
  </si>
  <si>
    <t>SAUER</t>
  </si>
  <si>
    <t>RICK</t>
  </si>
  <si>
    <t>MATTOX</t>
  </si>
  <si>
    <t>GENE</t>
  </si>
  <si>
    <t>SANBORN</t>
  </si>
  <si>
    <t>IAN</t>
  </si>
  <si>
    <t>STILL</t>
  </si>
  <si>
    <t>CLIFTON</t>
  </si>
  <si>
    <t>MALCOLM</t>
  </si>
  <si>
    <t>DARYL</t>
  </si>
  <si>
    <t>LARUE</t>
  </si>
  <si>
    <t>GREY</t>
  </si>
  <si>
    <t>VIRGIL</t>
  </si>
  <si>
    <t>WOFFORD</t>
  </si>
  <si>
    <t>KENT</t>
  </si>
  <si>
    <t>ARSENAULT</t>
  </si>
  <si>
    <t>EDUARDO</t>
  </si>
  <si>
    <t>HIATT</t>
  </si>
  <si>
    <t>LINDA</t>
  </si>
  <si>
    <t>WILLIAMS</t>
  </si>
  <si>
    <t>BRENDA</t>
  </si>
  <si>
    <t>WRIGHT</t>
  </si>
  <si>
    <t>MARIE</t>
  </si>
  <si>
    <t>TURNER</t>
  </si>
  <si>
    <t>KATHRYN</t>
  </si>
  <si>
    <t>COLEMAN</t>
  </si>
  <si>
    <t>DAWN</t>
  </si>
  <si>
    <t>SULLIVAN</t>
  </si>
  <si>
    <t>EDNA</t>
  </si>
  <si>
    <t>WEST</t>
  </si>
  <si>
    <t>CARMEN</t>
  </si>
  <si>
    <t>OWENS</t>
  </si>
  <si>
    <t>JOSEPHINE</t>
  </si>
  <si>
    <t>GOMEZ</t>
  </si>
  <si>
    <t>APRIL</t>
  </si>
  <si>
    <t>BURNS</t>
  </si>
  <si>
    <t>VALERIE</t>
  </si>
  <si>
    <t>BLACK</t>
  </si>
  <si>
    <t>BEATRICE</t>
  </si>
  <si>
    <t>DOLORES</t>
  </si>
  <si>
    <t>WAGNER</t>
  </si>
  <si>
    <t>RENEE</t>
  </si>
  <si>
    <t>LANE</t>
  </si>
  <si>
    <t>CARLA</t>
  </si>
  <si>
    <t>GUTIERREZ</t>
  </si>
  <si>
    <t>LUCY</t>
  </si>
  <si>
    <t>WHEELER</t>
  </si>
  <si>
    <t>BANKS</t>
  </si>
  <si>
    <t>WILLIE</t>
  </si>
  <si>
    <t>HOWELL</t>
  </si>
  <si>
    <t>ARLENE</t>
  </si>
  <si>
    <t>HARVEY</t>
  </si>
  <si>
    <t>GEORGIA</t>
  </si>
  <si>
    <t>JACOBS</t>
  </si>
  <si>
    <t>CLAUDIA</t>
  </si>
  <si>
    <t>FULLER</t>
  </si>
  <si>
    <t>MARLENE</t>
  </si>
  <si>
    <t>WELCH</t>
  </si>
  <si>
    <t>DEANNA</t>
  </si>
  <si>
    <t>BYRD</t>
  </si>
  <si>
    <t>BILLIE</t>
  </si>
  <si>
    <t>HORTON</t>
  </si>
  <si>
    <t>MIRIAM</t>
  </si>
  <si>
    <t>MCKINNEY</t>
  </si>
  <si>
    <t>SHELLY</t>
  </si>
  <si>
    <t>WATTS</t>
  </si>
  <si>
    <t>ERIKA</t>
  </si>
  <si>
    <t>PENA</t>
  </si>
  <si>
    <t>WILLIAM</t>
  </si>
  <si>
    <t>SATTERFIELD</t>
  </si>
  <si>
    <t>DAVID</t>
  </si>
  <si>
    <t>ROYAL</t>
  </si>
  <si>
    <t>RINEHART</t>
  </si>
  <si>
    <t>LARRY</t>
  </si>
  <si>
    <t>THRASHER</t>
  </si>
  <si>
    <t>KEITH</t>
  </si>
  <si>
    <t>RICO</t>
  </si>
  <si>
    <t>HOWARD</t>
  </si>
  <si>
    <t>FORTNER</t>
  </si>
  <si>
    <t>PHILLIP</t>
  </si>
  <si>
    <t>HOLM</t>
  </si>
  <si>
    <t>JESSE</t>
  </si>
  <si>
    <t>SCHILLING</t>
  </si>
  <si>
    <t>ALAN</t>
  </si>
  <si>
    <t>KAHN</t>
  </si>
  <si>
    <t>NORMAN</t>
  </si>
  <si>
    <t>CURRIER</t>
  </si>
  <si>
    <t>MELVIN</t>
  </si>
  <si>
    <t>ELLINGTON</t>
  </si>
  <si>
    <t>ALFRED</t>
  </si>
  <si>
    <t>CASILLAS</t>
  </si>
  <si>
    <t>FRANCIS</t>
  </si>
  <si>
    <t>SIKES</t>
  </si>
  <si>
    <t>MICHEAL</t>
  </si>
  <si>
    <t>FORMAN</t>
  </si>
  <si>
    <t>JAY</t>
  </si>
  <si>
    <t>ROBB</t>
  </si>
  <si>
    <t>DUSTIN</t>
  </si>
  <si>
    <t>GILLETTE</t>
  </si>
  <si>
    <t>GLEN</t>
  </si>
  <si>
    <t>TALBERT</t>
  </si>
  <si>
    <t>HECTOR</t>
  </si>
  <si>
    <t>POINDEXTER</t>
  </si>
  <si>
    <t>CHARLIE</t>
  </si>
  <si>
    <t>BESS</t>
  </si>
  <si>
    <t>BEN</t>
  </si>
  <si>
    <t>EASTER</t>
  </si>
  <si>
    <t>CECIL</t>
  </si>
  <si>
    <t>VINES</t>
  </si>
  <si>
    <t>ELMER</t>
  </si>
  <si>
    <t>NOE</t>
  </si>
  <si>
    <t>GABRIEL</t>
  </si>
  <si>
    <t>HARDER</t>
  </si>
  <si>
    <t>CLAYTON</t>
  </si>
  <si>
    <t>BARBEE</t>
  </si>
  <si>
    <t>IVAN</t>
  </si>
  <si>
    <t>CROMWELL</t>
  </si>
  <si>
    <t>SERGIO</t>
  </si>
  <si>
    <t>STANFIELD</t>
  </si>
  <si>
    <t>RENE</t>
  </si>
  <si>
    <t>MCALISTER</t>
  </si>
  <si>
    <t>DOROTHY</t>
  </si>
  <si>
    <t>TAYLOR</t>
  </si>
  <si>
    <t>KIMBERLY</t>
  </si>
  <si>
    <t>STEPHANIE</t>
  </si>
  <si>
    <t>MILDRED</t>
  </si>
  <si>
    <t>BAILEY</t>
  </si>
  <si>
    <t>ASHLEY</t>
  </si>
  <si>
    <t>RICHARDSON</t>
  </si>
  <si>
    <t>JUDY</t>
  </si>
  <si>
    <t>GRAY</t>
  </si>
  <si>
    <t>LOUISE</t>
  </si>
  <si>
    <t>JENKINS</t>
  </si>
  <si>
    <t>LILLIAN</t>
  </si>
  <si>
    <t>GRIFFIN</t>
  </si>
  <si>
    <t>DANIELLE</t>
  </si>
  <si>
    <t>DANIELS</t>
  </si>
  <si>
    <t>GAIL</t>
  </si>
  <si>
    <t>KNIGHT</t>
  </si>
  <si>
    <t>BERTHA</t>
  </si>
  <si>
    <t>FERGUSON</t>
  </si>
  <si>
    <t>MELANIE</t>
  </si>
  <si>
    <t>ARMSTRONG</t>
  </si>
  <si>
    <t>KATIE</t>
  </si>
  <si>
    <t>ELLIOTT</t>
  </si>
  <si>
    <t>BETH</t>
  </si>
  <si>
    <t>FRANKLIN</t>
  </si>
  <si>
    <t>VICKI</t>
  </si>
  <si>
    <t>FIELDS</t>
  </si>
  <si>
    <t>TAMARA</t>
  </si>
  <si>
    <t>NGUYEN</t>
  </si>
  <si>
    <t>CONSTANCE</t>
  </si>
  <si>
    <t>REID</t>
  </si>
  <si>
    <t>JACKIE</t>
  </si>
  <si>
    <t>LYNCH</t>
  </si>
  <si>
    <t>GWENDOLYN</t>
  </si>
  <si>
    <t>MAY</t>
  </si>
  <si>
    <t>LEAH</t>
  </si>
  <si>
    <t>RICHARD</t>
  </si>
  <si>
    <t>MCCRARY</t>
  </si>
  <si>
    <t>GRIGSBY</t>
  </si>
  <si>
    <t>GARY</t>
  </si>
  <si>
    <t>COY</t>
  </si>
  <si>
    <t>JOSE</t>
  </si>
  <si>
    <t>SCOTT</t>
  </si>
  <si>
    <t>SHELLEY</t>
  </si>
  <si>
    <t>GRAF</t>
  </si>
  <si>
    <t>MARKHAM</t>
  </si>
  <si>
    <t>FRED</t>
  </si>
  <si>
    <t>WHEAT</t>
  </si>
  <si>
    <t>ERNEST</t>
  </si>
  <si>
    <t>STEPP</t>
  </si>
  <si>
    <t>VINCENT</t>
  </si>
  <si>
    <t>RALSTON</t>
  </si>
  <si>
    <t>TRAVIS</t>
  </si>
  <si>
    <t>ESTEP</t>
  </si>
  <si>
    <t>CHAD</t>
  </si>
  <si>
    <t>CARBONE</t>
  </si>
  <si>
    <t>DON</t>
  </si>
  <si>
    <t>BONE</t>
  </si>
  <si>
    <t>RICKY</t>
  </si>
  <si>
    <t>SHELBY</t>
  </si>
  <si>
    <t>RONNIE</t>
  </si>
  <si>
    <t>RICKETTS</t>
  </si>
  <si>
    <t>LEON</t>
  </si>
  <si>
    <t>BOSTIC</t>
  </si>
  <si>
    <t>DARRELL</t>
  </si>
  <si>
    <t>POWER</t>
  </si>
  <si>
    <t>EDGAR</t>
  </si>
  <si>
    <t>RHOADS</t>
  </si>
  <si>
    <t>MILTON</t>
  </si>
  <si>
    <t>HOWLAND</t>
  </si>
  <si>
    <t>BRAD</t>
  </si>
  <si>
    <t>MCCURDY</t>
  </si>
  <si>
    <t>CLAUDE</t>
  </si>
  <si>
    <t>HERZOG</t>
  </si>
  <si>
    <t>WAUGH</t>
  </si>
  <si>
    <t>FERNANDO</t>
  </si>
  <si>
    <t>CHURCHILL</t>
  </si>
  <si>
    <t>CLINTON</t>
  </si>
  <si>
    <t>BUFORD</t>
  </si>
  <si>
    <t>KNOTT</t>
  </si>
  <si>
    <t>WALLACE</t>
  </si>
  <si>
    <t>SLONE</t>
  </si>
  <si>
    <t>SIDNEY</t>
  </si>
  <si>
    <t>BURLESON</t>
  </si>
  <si>
    <t>ANDY</t>
  </si>
  <si>
    <t>VANHORN</t>
  </si>
  <si>
    <t>SETH</t>
  </si>
  <si>
    <t>HANNON</t>
  </si>
  <si>
    <t>FREDDIE</t>
  </si>
  <si>
    <t>DUGGAN</t>
  </si>
  <si>
    <t>SUSAN</t>
  </si>
  <si>
    <t>WILSON</t>
  </si>
  <si>
    <t>LISA</t>
  </si>
  <si>
    <t>ANDERSON</t>
  </si>
  <si>
    <t>RUTH</t>
  </si>
  <si>
    <t>MARTINEZ</t>
  </si>
  <si>
    <t>REBECCA</t>
  </si>
  <si>
    <t>CHRISTINE</t>
  </si>
  <si>
    <t>ROBERTS</t>
  </si>
  <si>
    <t>BEVERLY</t>
  </si>
  <si>
    <t>BROOKS</t>
  </si>
  <si>
    <t>EMILY</t>
  </si>
  <si>
    <t>DIAZ</t>
  </si>
  <si>
    <t>ROBIN</t>
  </si>
  <si>
    <t>HAYES</t>
  </si>
  <si>
    <t>PEGGY</t>
  </si>
  <si>
    <t>MYERS</t>
  </si>
  <si>
    <t>RITA</t>
  </si>
  <si>
    <t>GRAHAM</t>
  </si>
  <si>
    <t>SHANNON</t>
  </si>
  <si>
    <t>FREEMAN</t>
  </si>
  <si>
    <t>ELAINE</t>
  </si>
  <si>
    <t>STEVENS</t>
  </si>
  <si>
    <t>CHARLOTTE</t>
  </si>
  <si>
    <t>HUNTER</t>
  </si>
  <si>
    <t>SUZANNE</t>
  </si>
  <si>
    <t>NICHOLS</t>
  </si>
  <si>
    <t>ANNETTE</t>
  </si>
  <si>
    <t>OLSON</t>
  </si>
  <si>
    <t>COLLEEN</t>
  </si>
  <si>
    <t>BURTON</t>
  </si>
  <si>
    <t>LYDIA</t>
  </si>
  <si>
    <t>BURKE</t>
  </si>
  <si>
    <t>MYRTLE</t>
  </si>
  <si>
    <t>FLEMING</t>
  </si>
  <si>
    <t>BOBBIE</t>
  </si>
  <si>
    <t>JACK</t>
  </si>
  <si>
    <t>FOUST</t>
  </si>
  <si>
    <t>AARON</t>
  </si>
  <si>
    <t>SELBY</t>
  </si>
  <si>
    <t>VICTOR</t>
  </si>
  <si>
    <t>BARKLEY</t>
  </si>
  <si>
    <t>JESUS</t>
  </si>
  <si>
    <t>MCCARTNEY</t>
  </si>
  <si>
    <t>JON</t>
  </si>
  <si>
    <t>WILES</t>
  </si>
  <si>
    <t>PEDRO</t>
  </si>
  <si>
    <t>CHESTNUT</t>
  </si>
  <si>
    <t>SAM</t>
  </si>
  <si>
    <t>MCDUFFIE</t>
  </si>
  <si>
    <t>CHESTER</t>
  </si>
  <si>
    <t>BENNER</t>
  </si>
  <si>
    <t>CORY</t>
  </si>
  <si>
    <t>MEEHAN</t>
  </si>
  <si>
    <t>CHRISTIAN</t>
  </si>
  <si>
    <t>JUNG</t>
  </si>
  <si>
    <t>TYRONE</t>
  </si>
  <si>
    <t>ASHER</t>
  </si>
  <si>
    <t>DARREN</t>
  </si>
  <si>
    <t>WINDHAM</t>
  </si>
  <si>
    <t>MAX</t>
  </si>
  <si>
    <t>PITT</t>
  </si>
  <si>
    <t>FELIX</t>
  </si>
  <si>
    <t>GAFFNEY</t>
  </si>
  <si>
    <t>BOB</t>
  </si>
  <si>
    <t>PFEIFFER</t>
  </si>
  <si>
    <t>JOHNNIE</t>
  </si>
  <si>
    <t>CHISHOLM</t>
  </si>
  <si>
    <t>SWAFFORD</t>
  </si>
  <si>
    <t>MARGARET</t>
  </si>
  <si>
    <t>MOORE</t>
  </si>
  <si>
    <t>PAMELA</t>
  </si>
  <si>
    <t>BAKER</t>
  </si>
  <si>
    <t>JOAN</t>
  </si>
  <si>
    <t>COOPER</t>
  </si>
  <si>
    <t>IRENE</t>
  </si>
  <si>
    <t>PRICE</t>
  </si>
  <si>
    <t>ANNE</t>
  </si>
  <si>
    <t>POWELL</t>
  </si>
  <si>
    <t>PHYLLIS</t>
  </si>
  <si>
    <t>FOSTER</t>
  </si>
  <si>
    <t>CONNIE</t>
  </si>
  <si>
    <t>EMMA</t>
  </si>
  <si>
    <t>BOYD</t>
  </si>
  <si>
    <t>SAMANTHA</t>
  </si>
  <si>
    <t>DUNCAN</t>
  </si>
  <si>
    <t>STACY</t>
  </si>
  <si>
    <t>CUNNINGHAM</t>
  </si>
  <si>
    <t>IDA</t>
  </si>
  <si>
    <t>ANDREWS</t>
  </si>
  <si>
    <t>VIVIAN</t>
  </si>
  <si>
    <t>RUIZ</t>
  </si>
  <si>
    <t>ROBERTA</t>
  </si>
  <si>
    <t>HARPER</t>
  </si>
  <si>
    <t>LAURIE</t>
  </si>
  <si>
    <t>NATALIE</t>
  </si>
  <si>
    <t>MEYER</t>
  </si>
  <si>
    <t>AGNES</t>
  </si>
  <si>
    <t>BISHOP</t>
  </si>
  <si>
    <t>LILLIE</t>
  </si>
  <si>
    <t>KIM</t>
  </si>
  <si>
    <t>MARIAN</t>
  </si>
  <si>
    <t>MENDOZA</t>
  </si>
  <si>
    <t>DORA</t>
  </si>
  <si>
    <t>MEDINA</t>
  </si>
  <si>
    <t>TONI</t>
  </si>
  <si>
    <t>HOLT</t>
  </si>
  <si>
    <t>PAUL</t>
  </si>
  <si>
    <t>TROUT</t>
  </si>
  <si>
    <t>DONALD</t>
  </si>
  <si>
    <t>MAHON</t>
  </si>
  <si>
    <t>JEFFREY</t>
  </si>
  <si>
    <t>SPEAR</t>
  </si>
  <si>
    <t>MAULDIN</t>
  </si>
  <si>
    <t>PETER</t>
  </si>
  <si>
    <t>MENARD</t>
  </si>
  <si>
    <t>CARL</t>
  </si>
  <si>
    <t>ARTIS</t>
  </si>
  <si>
    <t>JUAN</t>
  </si>
  <si>
    <t>FRALEY</t>
  </si>
  <si>
    <t>ALBERT</t>
  </si>
  <si>
    <t>CROUSE</t>
  </si>
  <si>
    <t>BENJAMIN</t>
  </si>
  <si>
    <t>VARNEY</t>
  </si>
  <si>
    <t>BRUCE</t>
  </si>
  <si>
    <t>SCHWARZ</t>
  </si>
  <si>
    <t>CARLOS</t>
  </si>
  <si>
    <t>COUGHLIN</t>
  </si>
  <si>
    <t>SEAN</t>
  </si>
  <si>
    <t>DOUGLASS</t>
  </si>
  <si>
    <t>RODNEY</t>
  </si>
  <si>
    <t>MOELLER</t>
  </si>
  <si>
    <t>GLENN</t>
  </si>
  <si>
    <t>PULLEN</t>
  </si>
  <si>
    <t>JOEL</t>
  </si>
  <si>
    <t>FRANCISCO</t>
  </si>
  <si>
    <t>EDWIN</t>
  </si>
  <si>
    <t>BURK</t>
  </si>
  <si>
    <t>RANDALL</t>
  </si>
  <si>
    <t>NEUMANN</t>
  </si>
  <si>
    <t>CALVIN</t>
  </si>
  <si>
    <t>MARTEL</t>
  </si>
  <si>
    <t>LEO</t>
  </si>
  <si>
    <t>EBERT</t>
  </si>
  <si>
    <t>BRENT</t>
  </si>
  <si>
    <t>HARKINS</t>
  </si>
  <si>
    <t>RON</t>
  </si>
  <si>
    <t>DELUCA</t>
  </si>
  <si>
    <t>ROLAND</t>
  </si>
  <si>
    <t>SOUTH</t>
  </si>
  <si>
    <t>DARRYL</t>
  </si>
  <si>
    <t>ASHCRAFT</t>
  </si>
  <si>
    <t>KURT</t>
  </si>
  <si>
    <t>EMMONS</t>
  </si>
  <si>
    <t>THORN</t>
  </si>
  <si>
    <t>BARBARA</t>
  </si>
  <si>
    <t>JONES</t>
  </si>
  <si>
    <t>CAROL</t>
  </si>
  <si>
    <t>GARCIA</t>
  </si>
  <si>
    <t>LAURA</t>
  </si>
  <si>
    <t>RODRIGUEZ</t>
  </si>
  <si>
    <t>FRANCES</t>
  </si>
  <si>
    <t>PARKER</t>
  </si>
  <si>
    <t>DORIS</t>
  </si>
  <si>
    <t>REED</t>
  </si>
  <si>
    <t>TORRES</t>
  </si>
  <si>
    <t>NICOLE</t>
  </si>
  <si>
    <t>PETERSON</t>
  </si>
  <si>
    <t>RACHEL</t>
  </si>
  <si>
    <t>BARNES</t>
  </si>
  <si>
    <t>ANDREA</t>
  </si>
  <si>
    <t>HENDERSON</t>
  </si>
  <si>
    <t>ERICA</t>
  </si>
  <si>
    <t>MATTHEWS</t>
  </si>
  <si>
    <t>LORETTA</t>
  </si>
  <si>
    <t>CARPENTER</t>
  </si>
  <si>
    <t>PEARL</t>
  </si>
  <si>
    <t>GARZA</t>
  </si>
  <si>
    <t>STELLA</t>
  </si>
  <si>
    <t>MORENO</t>
  </si>
  <si>
    <t>MATTIE</t>
  </si>
  <si>
    <t>HOFFMAN</t>
  </si>
  <si>
    <t>KEVIN</t>
  </si>
  <si>
    <t>SCHULER</t>
  </si>
  <si>
    <t>TIMOTHY</t>
  </si>
  <si>
    <t>BUNN</t>
  </si>
  <si>
    <t>GOOCH</t>
  </si>
  <si>
    <t>CHRIS</t>
  </si>
  <si>
    <t>BROTHERS</t>
  </si>
  <si>
    <t>HOULE</t>
  </si>
  <si>
    <t>BERNARD</t>
  </si>
  <si>
    <t>COLBY</t>
  </si>
  <si>
    <t>SKIDMORE</t>
  </si>
  <si>
    <t>DERRICK</t>
  </si>
  <si>
    <t>BOURQUE</t>
  </si>
  <si>
    <t>DAN</t>
  </si>
  <si>
    <t>PAINE</t>
  </si>
  <si>
    <t>COREY</t>
  </si>
  <si>
    <t>HAUSER</t>
  </si>
  <si>
    <t>SHANE</t>
  </si>
  <si>
    <t>MILLARD</t>
  </si>
  <si>
    <t>TROUTMAN</t>
  </si>
  <si>
    <t>GUAJARDO</t>
  </si>
  <si>
    <t>MATHEW</t>
  </si>
  <si>
    <t>BOLIN</t>
  </si>
  <si>
    <t>LANCE</t>
  </si>
  <si>
    <t>PEMBERTON</t>
  </si>
  <si>
    <t>CODY</t>
  </si>
  <si>
    <t>NOLEN</t>
  </si>
  <si>
    <t>DWAYNE</t>
  </si>
  <si>
    <t>OLVERA</t>
  </si>
  <si>
    <t>WILLARD</t>
  </si>
  <si>
    <t>LUMPKIN</t>
  </si>
  <si>
    <t>DELVALLE</t>
  </si>
  <si>
    <t>DONNA</t>
  </si>
  <si>
    <t>THOMPSON</t>
  </si>
  <si>
    <t>ANNA</t>
  </si>
  <si>
    <t>HILL</t>
  </si>
  <si>
    <t>BONNIE</t>
  </si>
  <si>
    <t>HUGHES</t>
  </si>
  <si>
    <t>NORMA</t>
  </si>
  <si>
    <t>GONZALES</t>
  </si>
  <si>
    <t>CRUZ</t>
  </si>
  <si>
    <t>ALICIA</t>
  </si>
  <si>
    <t>MILLS</t>
  </si>
  <si>
    <t>JILL</t>
  </si>
  <si>
    <t>HAWKINS</t>
  </si>
  <si>
    <t>LORRAINE</t>
  </si>
  <si>
    <t>STEPHENS</t>
  </si>
  <si>
    <t>YVONNE</t>
  </si>
  <si>
    <t>WATKINS</t>
  </si>
  <si>
    <t>DELORES</t>
  </si>
  <si>
    <t>HANSEN</t>
  </si>
  <si>
    <t>MAUREEN</t>
  </si>
  <si>
    <t>LITTLE</t>
  </si>
  <si>
    <t>NELLIE</t>
  </si>
  <si>
    <t>GARRETT</t>
  </si>
  <si>
    <t>BAUGHMAN</t>
  </si>
  <si>
    <t>SAMUEL</t>
  </si>
  <si>
    <t>MARLOW</t>
  </si>
  <si>
    <t>DANNY</t>
  </si>
  <si>
    <t>ISOM</t>
  </si>
  <si>
    <t>TONY</t>
  </si>
  <si>
    <t>CARRANZA</t>
  </si>
  <si>
    <t>BUTTERFIELD</t>
  </si>
  <si>
    <t>MARVIN</t>
  </si>
  <si>
    <t>YEE</t>
  </si>
  <si>
    <t>JACOB</t>
  </si>
  <si>
    <t>FREDERICK</t>
  </si>
  <si>
    <t>ISBELL</t>
  </si>
  <si>
    <t>RICARDO</t>
  </si>
  <si>
    <t>MEADOR</t>
  </si>
  <si>
    <t>TYLER</t>
  </si>
  <si>
    <t>WREN</t>
  </si>
  <si>
    <t>RUBEN</t>
  </si>
  <si>
    <t>GEARY</t>
  </si>
  <si>
    <t>RAFAEL</t>
  </si>
  <si>
    <t>ABNEY</t>
  </si>
  <si>
    <t>JULIO</t>
  </si>
  <si>
    <t>NOLAND</t>
  </si>
  <si>
    <t>HUGH</t>
  </si>
  <si>
    <t>WALDROP</t>
  </si>
  <si>
    <t>ARMANDO</t>
  </si>
  <si>
    <t>GRUBER</t>
  </si>
  <si>
    <t>ALBERTO</t>
  </si>
  <si>
    <t>HENNING</t>
  </si>
  <si>
    <t>LAUREN</t>
  </si>
  <si>
    <t>HUDSON</t>
  </si>
  <si>
    <t>JEANETTE</t>
  </si>
  <si>
    <t>GREENE</t>
  </si>
  <si>
    <t>TARA</t>
  </si>
  <si>
    <t>WILMA</t>
  </si>
  <si>
    <t>RICHARDS</t>
  </si>
  <si>
    <t>JO</t>
  </si>
  <si>
    <t>FOWLER</t>
  </si>
  <si>
    <t>KAY</t>
  </si>
  <si>
    <t>CALDWELL</t>
  </si>
  <si>
    <t>DANIEL</t>
  </si>
  <si>
    <t>CABRAL</t>
  </si>
  <si>
    <t>ANTHONY</t>
  </si>
  <si>
    <t>SCHWAB</t>
  </si>
  <si>
    <t>GRISSOM</t>
  </si>
  <si>
    <t>LUIS</t>
  </si>
  <si>
    <t>YANEZ</t>
  </si>
  <si>
    <t>HERBERT</t>
  </si>
  <si>
    <t>KRUGER</t>
  </si>
  <si>
    <t>OSCAR</t>
  </si>
  <si>
    <t>AQUINO</t>
  </si>
  <si>
    <t>RAUL</t>
  </si>
  <si>
    <t>FORTIER</t>
  </si>
  <si>
    <t>CHRISTENSON</t>
  </si>
  <si>
    <t>ALFREDO</t>
  </si>
  <si>
    <t>MCADAMS</t>
  </si>
  <si>
    <t>EDITH</t>
  </si>
  <si>
    <t>MCDONALD</t>
  </si>
  <si>
    <t>VANESSA</t>
  </si>
  <si>
    <t>SIMS</t>
  </si>
  <si>
    <t>WAYNE</t>
  </si>
  <si>
    <t>TRUONG</t>
  </si>
  <si>
    <t>EUGENE</t>
  </si>
  <si>
    <t>CULPEPPER</t>
  </si>
  <si>
    <t>JOHNNY</t>
  </si>
  <si>
    <t>TURPIN</t>
  </si>
  <si>
    <t>LLOYD</t>
  </si>
  <si>
    <t>DOWD</t>
  </si>
  <si>
    <t>LYMAN</t>
  </si>
  <si>
    <t>JARED</t>
  </si>
  <si>
    <t>ELY</t>
  </si>
  <si>
    <t>ADRIAN</t>
  </si>
  <si>
    <t>CLARY</t>
  </si>
  <si>
    <t>ALLAN</t>
  </si>
  <si>
    <t>CORNISH</t>
  </si>
  <si>
    <t>KIRK</t>
  </si>
  <si>
    <t>STCLAIR</t>
  </si>
  <si>
    <t>CINTRON</t>
  </si>
  <si>
    <t>CHRISTINA</t>
  </si>
  <si>
    <t>RAMIREZ</t>
  </si>
  <si>
    <t>PAULA</t>
  </si>
  <si>
    <t>BRYANT</t>
  </si>
  <si>
    <t>ANNIE</t>
  </si>
  <si>
    <t>SHEILA</t>
  </si>
  <si>
    <t>WELLS</t>
  </si>
  <si>
    <t>EVA</t>
  </si>
  <si>
    <t>RAMOS</t>
  </si>
  <si>
    <t>KRISTEN</t>
  </si>
  <si>
    <t>CHAVEZ</t>
  </si>
  <si>
    <t>EILEEN</t>
  </si>
  <si>
    <t>CARR</t>
  </si>
  <si>
    <t>VERA</t>
  </si>
  <si>
    <t>MCCOY</t>
  </si>
  <si>
    <t>IRMA</t>
  </si>
  <si>
    <t>PEARSON</t>
  </si>
  <si>
    <t>PENNY</t>
  </si>
  <si>
    <t>NEAL</t>
  </si>
  <si>
    <t>BILLINGSLEY</t>
  </si>
  <si>
    <t>JONATHAN</t>
  </si>
  <si>
    <t>SCARBOROUGH</t>
  </si>
  <si>
    <t>VERNON</t>
  </si>
  <si>
    <t>CHAPA</t>
  </si>
  <si>
    <t>LONNIE</t>
  </si>
  <si>
    <t>TIRADO</t>
  </si>
  <si>
    <t>ANN</t>
  </si>
  <si>
    <t>EVANS</t>
  </si>
  <si>
    <t>MELINDA</t>
  </si>
  <si>
    <t>FERNANDEZ</t>
  </si>
  <si>
    <t>KENNETH</t>
  </si>
  <si>
    <t>GOODEN</t>
  </si>
  <si>
    <t>FLOYD</t>
  </si>
  <si>
    <t>GANDY</t>
  </si>
  <si>
    <t>DWIGHT</t>
  </si>
  <si>
    <t>LOMBARDI</t>
  </si>
  <si>
    <t>JOANN</t>
  </si>
  <si>
    <t>GARDNER</t>
  </si>
  <si>
    <t>ANTONIO</t>
  </si>
  <si>
    <t>MEEK</t>
  </si>
  <si>
    <t>JEROME</t>
  </si>
  <si>
    <t>KENYON</t>
  </si>
  <si>
    <t>LESTER</t>
  </si>
  <si>
    <t>KRAUS</t>
  </si>
  <si>
    <t>ANITA</t>
  </si>
  <si>
    <t>MORALES</t>
  </si>
  <si>
    <t>CAROLINE</t>
  </si>
  <si>
    <t>BOWMAN</t>
  </si>
  <si>
    <t>KATHERINE</t>
  </si>
  <si>
    <t>RIVERA</t>
  </si>
  <si>
    <t>TIFFANY</t>
  </si>
  <si>
    <t>LEONA</t>
  </si>
  <si>
    <t>OBRIEN</t>
  </si>
  <si>
    <t>BRIAN</t>
  </si>
  <si>
    <t>WYMAN</t>
  </si>
  <si>
    <t>CATEGORIE FILM</t>
  </si>
  <si>
    <t xml:space="preserve"> Nombre de films</t>
  </si>
  <si>
    <t>Total général</t>
  </si>
  <si>
    <t>VISION CLIENTS</t>
  </si>
  <si>
    <t>VISION LOCATION</t>
  </si>
  <si>
    <t>Somme de nb_locations</t>
  </si>
  <si>
    <t>CONCLUSION</t>
  </si>
  <si>
    <t>Column1</t>
  </si>
  <si>
    <t>Column2</t>
  </si>
  <si>
    <t>Column3</t>
  </si>
  <si>
    <t>Après-midi</t>
  </si>
  <si>
    <t>586</t>
  </si>
  <si>
    <t>Matin</t>
  </si>
  <si>
    <t>Nuit</t>
  </si>
  <si>
    <t>580</t>
  </si>
  <si>
    <t>Soir</t>
  </si>
  <si>
    <t>568</t>
  </si>
  <si>
    <t>551</t>
  </si>
  <si>
    <t>523</t>
  </si>
  <si>
    <t>540</t>
  </si>
  <si>
    <t>531</t>
  </si>
  <si>
    <t>552</t>
  </si>
  <si>
    <t>597</t>
  </si>
  <si>
    <t>567</t>
  </si>
  <si>
    <t>748</t>
  </si>
  <si>
    <t>543</t>
  </si>
  <si>
    <t>619</t>
  </si>
  <si>
    <t>553</t>
  </si>
  <si>
    <t>528</t>
  </si>
  <si>
    <t>584</t>
  </si>
  <si>
    <t>599</t>
  </si>
  <si>
    <t>583</t>
  </si>
  <si>
    <t>562</t>
  </si>
  <si>
    <t>532</t>
  </si>
  <si>
    <t>620</t>
  </si>
  <si>
    <t>549</t>
  </si>
  <si>
    <t>571</t>
  </si>
  <si>
    <t>Pays</t>
  </si>
  <si>
    <t>Nombre de locations par pays</t>
  </si>
  <si>
    <t>India</t>
  </si>
  <si>
    <t>1572</t>
  </si>
  <si>
    <t>China</t>
  </si>
  <si>
    <t>1426</t>
  </si>
  <si>
    <t>United States</t>
  </si>
  <si>
    <t>968</t>
  </si>
  <si>
    <t>Japan</t>
  </si>
  <si>
    <t>825</t>
  </si>
  <si>
    <t>Mexico</t>
  </si>
  <si>
    <t>796</t>
  </si>
  <si>
    <t>Brazil</t>
  </si>
  <si>
    <t>Russian Federation</t>
  </si>
  <si>
    <t>713</t>
  </si>
  <si>
    <t>Philippines</t>
  </si>
  <si>
    <t>Turkey</t>
  </si>
  <si>
    <t>388</t>
  </si>
  <si>
    <t>Indonesia</t>
  </si>
  <si>
    <t>367</t>
  </si>
  <si>
    <t>Argentina</t>
  </si>
  <si>
    <t>352</t>
  </si>
  <si>
    <t>Nigeria</t>
  </si>
  <si>
    <t>Taiwan</t>
  </si>
  <si>
    <t>305</t>
  </si>
  <si>
    <t>South Africa</t>
  </si>
  <si>
    <t>285</t>
  </si>
  <si>
    <t>Iran</t>
  </si>
  <si>
    <t>225</t>
  </si>
  <si>
    <t>United Kingdom</t>
  </si>
  <si>
    <t>219</t>
  </si>
  <si>
    <t>Poland</t>
  </si>
  <si>
    <t>203</t>
  </si>
  <si>
    <t>Germany</t>
  </si>
  <si>
    <t>196</t>
  </si>
  <si>
    <t>Italy</t>
  </si>
  <si>
    <t>189</t>
  </si>
  <si>
    <t>Vietnam</t>
  </si>
  <si>
    <t>172</t>
  </si>
  <si>
    <t>Venezuela</t>
  </si>
  <si>
    <t>170</t>
  </si>
  <si>
    <t>Egypt</t>
  </si>
  <si>
    <t>161</t>
  </si>
  <si>
    <t>Colombia</t>
  </si>
  <si>
    <t>159</t>
  </si>
  <si>
    <t>Ukraine</t>
  </si>
  <si>
    <t>158</t>
  </si>
  <si>
    <t>Spain</t>
  </si>
  <si>
    <t>142</t>
  </si>
  <si>
    <t>Canada</t>
  </si>
  <si>
    <t>137</t>
  </si>
  <si>
    <t>South Korea</t>
  </si>
  <si>
    <t>135</t>
  </si>
  <si>
    <t>Netherlands</t>
  </si>
  <si>
    <t>134</t>
  </si>
  <si>
    <t>Pakistan</t>
  </si>
  <si>
    <t>128</t>
  </si>
  <si>
    <t>Saudi Arabia</t>
  </si>
  <si>
    <t>121</t>
  </si>
  <si>
    <t>Yemen</t>
  </si>
  <si>
    <t>117</t>
  </si>
  <si>
    <t>Peru</t>
  </si>
  <si>
    <t>112</t>
  </si>
  <si>
    <t>Israel</t>
  </si>
  <si>
    <t>99</t>
  </si>
  <si>
    <t>France</t>
  </si>
  <si>
    <t>96</t>
  </si>
  <si>
    <t>Thailand</t>
  </si>
  <si>
    <t>Bangladesh</t>
  </si>
  <si>
    <t>95</t>
  </si>
  <si>
    <t>Algeria</t>
  </si>
  <si>
    <t>90</t>
  </si>
  <si>
    <t>Ecuador</t>
  </si>
  <si>
    <t>87</t>
  </si>
  <si>
    <t>Malaysia</t>
  </si>
  <si>
    <t>85</t>
  </si>
  <si>
    <t>United Arab Emirates</t>
  </si>
  <si>
    <t>84</t>
  </si>
  <si>
    <t>Tanzania</t>
  </si>
  <si>
    <t>83</t>
  </si>
  <si>
    <t>Mozambique</t>
  </si>
  <si>
    <t>80</t>
  </si>
  <si>
    <t>Austria</t>
  </si>
  <si>
    <t>78</t>
  </si>
  <si>
    <t>Dominican Republic</t>
  </si>
  <si>
    <t>77</t>
  </si>
  <si>
    <t>Chile</t>
  </si>
  <si>
    <t>71</t>
  </si>
  <si>
    <t>Morocco</t>
  </si>
  <si>
    <t>Belarus</t>
  </si>
  <si>
    <t>66</t>
  </si>
  <si>
    <t>Paraguay</t>
  </si>
  <si>
    <t>62</t>
  </si>
  <si>
    <t>Romania</t>
  </si>
  <si>
    <t>Puerto Rico</t>
  </si>
  <si>
    <t>61</t>
  </si>
  <si>
    <t>Switzerland</t>
  </si>
  <si>
    <t>Latvia</t>
  </si>
  <si>
    <t>60</t>
  </si>
  <si>
    <t>Azerbaijan</t>
  </si>
  <si>
    <t>57</t>
  </si>
  <si>
    <t>Yugoslavia</t>
  </si>
  <si>
    <t>Cameroon</t>
  </si>
  <si>
    <t>54</t>
  </si>
  <si>
    <t>French Polynesia</t>
  </si>
  <si>
    <t>Greece</t>
  </si>
  <si>
    <t>Kenya</t>
  </si>
  <si>
    <t>Sudan</t>
  </si>
  <si>
    <t>Cambodia</t>
  </si>
  <si>
    <t>53</t>
  </si>
  <si>
    <t>Angola</t>
  </si>
  <si>
    <t>52</t>
  </si>
  <si>
    <t>Kazakstan</t>
  </si>
  <si>
    <t>Myanmar</t>
  </si>
  <si>
    <t>Bulgaria</t>
  </si>
  <si>
    <t>50</t>
  </si>
  <si>
    <t>Congo, The Democratic Republic of the</t>
  </si>
  <si>
    <t>Oman</t>
  </si>
  <si>
    <t>Bolivia</t>
  </si>
  <si>
    <t>47</t>
  </si>
  <si>
    <t>Runion</t>
  </si>
  <si>
    <t>46</t>
  </si>
  <si>
    <t>Anguilla</t>
  </si>
  <si>
    <t>35</t>
  </si>
  <si>
    <t>Brunei</t>
  </si>
  <si>
    <t>Greenland</t>
  </si>
  <si>
    <t>34</t>
  </si>
  <si>
    <t>Holy See (Vatican City State)</t>
  </si>
  <si>
    <t>Moldova</t>
  </si>
  <si>
    <t>Sweden</t>
  </si>
  <si>
    <t>Zambia</t>
  </si>
  <si>
    <t>33</t>
  </si>
  <si>
    <t>Chad</t>
  </si>
  <si>
    <t>32</t>
  </si>
  <si>
    <t>Virgin Islands, U.S.</t>
  </si>
  <si>
    <t>Nauru</t>
  </si>
  <si>
    <t>31</t>
  </si>
  <si>
    <t>North Korea</t>
  </si>
  <si>
    <t>Estonia</t>
  </si>
  <si>
    <t>30</t>
  </si>
  <si>
    <t>Gambia</t>
  </si>
  <si>
    <t>Hong Kong</t>
  </si>
  <si>
    <t>Sri Lanka</t>
  </si>
  <si>
    <t>Czech Republic</t>
  </si>
  <si>
    <t>29</t>
  </si>
  <si>
    <t>Hungary</t>
  </si>
  <si>
    <t>Faroe Islands</t>
  </si>
  <si>
    <t>28</t>
  </si>
  <si>
    <t>Liechtenstein</t>
  </si>
  <si>
    <t>Malawi</t>
  </si>
  <si>
    <t>Iraq</t>
  </si>
  <si>
    <t>27</t>
  </si>
  <si>
    <t>Turkmenistan</t>
  </si>
  <si>
    <t>Finland</t>
  </si>
  <si>
    <t>26</t>
  </si>
  <si>
    <t>Kuwait</t>
  </si>
  <si>
    <t>Slovakia</t>
  </si>
  <si>
    <t>Tuvalu</t>
  </si>
  <si>
    <t>Armenia</t>
  </si>
  <si>
    <t>25</t>
  </si>
  <si>
    <t>Bahrain</t>
  </si>
  <si>
    <t>Saint Vincent and the Grenadines</t>
  </si>
  <si>
    <t>Senegal</t>
  </si>
  <si>
    <t>Lithuania</t>
  </si>
  <si>
    <t>24</t>
  </si>
  <si>
    <t>New Zealand</t>
  </si>
  <si>
    <t>Ethiopia</t>
  </si>
  <si>
    <t>23</t>
  </si>
  <si>
    <t>Tunisia</t>
  </si>
  <si>
    <t>French Guiana</t>
  </si>
  <si>
    <t>22</t>
  </si>
  <si>
    <t>Madagascar</t>
  </si>
  <si>
    <t>Nepal</t>
  </si>
  <si>
    <t>American Samoa</t>
  </si>
  <si>
    <t>20</t>
  </si>
  <si>
    <t>Afghanistan</t>
  </si>
  <si>
    <t>18</t>
  </si>
  <si>
    <t>Tonga</t>
  </si>
  <si>
    <t>film_id</t>
  </si>
  <si>
    <t>Nb location</t>
  </si>
  <si>
    <t>Moyenne par location et film</t>
  </si>
  <si>
    <t>1</t>
  </si>
  <si>
    <t>1.6</t>
  </si>
  <si>
    <t>2</t>
  </si>
  <si>
    <t>7</t>
  </si>
  <si>
    <t>7.56</t>
  </si>
  <si>
    <t>3</t>
  </si>
  <si>
    <t>12</t>
  </si>
  <si>
    <t>3.16</t>
  </si>
  <si>
    <t>4</t>
  </si>
  <si>
    <t>3.99</t>
  </si>
  <si>
    <t>5</t>
  </si>
  <si>
    <t>4.32</t>
  </si>
  <si>
    <t>6</t>
  </si>
  <si>
    <t>21</t>
  </si>
  <si>
    <t>6.04</t>
  </si>
  <si>
    <t>15</t>
  </si>
  <si>
    <t>5.52</t>
  </si>
  <si>
    <t>8</t>
  </si>
  <si>
    <t>5.71</t>
  </si>
  <si>
    <t>9</t>
  </si>
  <si>
    <t>5.99</t>
  </si>
  <si>
    <t>10</t>
  </si>
  <si>
    <t>5.73</t>
  </si>
  <si>
    <t>11</t>
  </si>
  <si>
    <t>1.49</t>
  </si>
  <si>
    <t>1.72</t>
  </si>
  <si>
    <t>13</t>
  </si>
  <si>
    <t>6.1</t>
  </si>
  <si>
    <t>4.13</t>
  </si>
  <si>
    <t>16</t>
  </si>
  <si>
    <t>14</t>
  </si>
  <si>
    <t>3.78</t>
  </si>
  <si>
    <t>17</t>
  </si>
  <si>
    <t>3.49</t>
  </si>
  <si>
    <t>19</t>
  </si>
  <si>
    <t>1.61</t>
  </si>
  <si>
    <t>6.79</t>
  </si>
  <si>
    <t>7.63</t>
  </si>
  <si>
    <t>3.37</t>
  </si>
  <si>
    <t>2.89</t>
  </si>
  <si>
    <t>5.44</t>
  </si>
  <si>
    <t>2.72</t>
  </si>
  <si>
    <t>1.37</t>
  </si>
  <si>
    <t>5.72</t>
  </si>
  <si>
    <t>3.79</t>
  </si>
  <si>
    <t>5.21</t>
  </si>
  <si>
    <t>5.76</t>
  </si>
  <si>
    <t>5.16</t>
  </si>
  <si>
    <t>1.76</t>
  </si>
  <si>
    <t>4.78</t>
  </si>
  <si>
    <t>37</t>
  </si>
  <si>
    <t>4.99</t>
  </si>
  <si>
    <t>39</t>
  </si>
  <si>
    <t>2.18</t>
  </si>
  <si>
    <t>40</t>
  </si>
  <si>
    <t>2.62</t>
  </si>
  <si>
    <t>42</t>
  </si>
  <si>
    <t>4.37</t>
  </si>
  <si>
    <t>43</t>
  </si>
  <si>
    <t>3.66</t>
  </si>
  <si>
    <t>44</t>
  </si>
  <si>
    <t>6.36</t>
  </si>
  <si>
    <t>45</t>
  </si>
  <si>
    <t>6.11</t>
  </si>
  <si>
    <t>7.72</t>
  </si>
  <si>
    <t>5.74</t>
  </si>
  <si>
    <t>48</t>
  </si>
  <si>
    <t>8.36</t>
  </si>
  <si>
    <t>49</t>
  </si>
  <si>
    <t>51</t>
  </si>
  <si>
    <t>4.29</t>
  </si>
  <si>
    <t>3.28</t>
  </si>
  <si>
    <t>1.94</t>
  </si>
  <si>
    <t>55</t>
  </si>
  <si>
    <t>3.87</t>
  </si>
  <si>
    <t>56</t>
  </si>
  <si>
    <t>3.71</t>
  </si>
  <si>
    <t>58</t>
  </si>
  <si>
    <t>3.81</t>
  </si>
  <si>
    <t>59</t>
  </si>
  <si>
    <t>4.9</t>
  </si>
  <si>
    <t>6.99</t>
  </si>
  <si>
    <t>4.16</t>
  </si>
  <si>
    <t>63</t>
  </si>
  <si>
    <t>1.3</t>
  </si>
  <si>
    <t>64</t>
  </si>
  <si>
    <t>1.54</t>
  </si>
  <si>
    <t>65</t>
  </si>
  <si>
    <t>7.76</t>
  </si>
  <si>
    <t>1.69</t>
  </si>
  <si>
    <t>67</t>
  </si>
  <si>
    <t>3.75</t>
  </si>
  <si>
    <t>68</t>
  </si>
  <si>
    <t>6.12</t>
  </si>
  <si>
    <t>69</t>
  </si>
  <si>
    <t>5.51</t>
  </si>
  <si>
    <t>70</t>
  </si>
  <si>
    <t>5.81</t>
  </si>
  <si>
    <t>7.91</t>
  </si>
  <si>
    <t>72</t>
  </si>
  <si>
    <t>3.57</t>
  </si>
  <si>
    <t>73</t>
  </si>
  <si>
    <t>4.54</t>
  </si>
  <si>
    <t>74</t>
  </si>
  <si>
    <t>6.81</t>
  </si>
  <si>
    <t>75</t>
  </si>
  <si>
    <t>76</t>
  </si>
  <si>
    <t>2.66</t>
  </si>
  <si>
    <t>6.21</t>
  </si>
  <si>
    <t>3.4</t>
  </si>
  <si>
    <t>79</t>
  </si>
  <si>
    <t>1.58</t>
  </si>
  <si>
    <t>3.41</t>
  </si>
  <si>
    <t>81</t>
  </si>
  <si>
    <t>5.49</t>
  </si>
  <si>
    <t>82</t>
  </si>
  <si>
    <t>3.89</t>
  </si>
  <si>
    <t>4.04</t>
  </si>
  <si>
    <t>5.19</t>
  </si>
  <si>
    <t>2.05</t>
  </si>
  <si>
    <t>86</t>
  </si>
  <si>
    <t>5.64</t>
  </si>
  <si>
    <t>88</t>
  </si>
  <si>
    <t>89</t>
  </si>
  <si>
    <t>1.26</t>
  </si>
  <si>
    <t>3.55</t>
  </si>
  <si>
    <t>91</t>
  </si>
  <si>
    <t>2.12</t>
  </si>
  <si>
    <t>92</t>
  </si>
  <si>
    <t>5.17</t>
  </si>
  <si>
    <t>93</t>
  </si>
  <si>
    <t>6.24</t>
  </si>
  <si>
    <t>94</t>
  </si>
  <si>
    <t>3.39</t>
  </si>
  <si>
    <t>6.46</t>
  </si>
  <si>
    <t>97</t>
  </si>
  <si>
    <t>1.15</t>
  </si>
  <si>
    <t>98</t>
  </si>
  <si>
    <t>7.14</t>
  </si>
  <si>
    <t>3.59</t>
  </si>
  <si>
    <t>100</t>
  </si>
  <si>
    <t>5.56</t>
  </si>
  <si>
    <t>101</t>
  </si>
  <si>
    <t>3.91</t>
  </si>
  <si>
    <t>102</t>
  </si>
  <si>
    <t>103</t>
  </si>
  <si>
    <t>5.31</t>
  </si>
  <si>
    <t>104</t>
  </si>
  <si>
    <t>5.08</t>
  </si>
  <si>
    <t>105</t>
  </si>
  <si>
    <t>1.36</t>
  </si>
  <si>
    <t>106</t>
  </si>
  <si>
    <t>4.7</t>
  </si>
  <si>
    <t>107</t>
  </si>
  <si>
    <t>109</t>
  </si>
  <si>
    <t>4.12</t>
  </si>
  <si>
    <t>110</t>
  </si>
  <si>
    <t>111</t>
  </si>
  <si>
    <t>3.24</t>
  </si>
  <si>
    <t>6.75</t>
  </si>
  <si>
    <t>113</t>
  </si>
  <si>
    <t>114</t>
  </si>
  <si>
    <t>3.77</t>
  </si>
  <si>
    <t>115</t>
  </si>
  <si>
    <t>116</t>
  </si>
  <si>
    <t>5.38</t>
  </si>
  <si>
    <t>5.6</t>
  </si>
  <si>
    <t>118</t>
  </si>
  <si>
    <t>1.46</t>
  </si>
  <si>
    <t>119</t>
  </si>
  <si>
    <t>120</t>
  </si>
  <si>
    <t>7.99</t>
  </si>
  <si>
    <t>4.66</t>
  </si>
  <si>
    <t>122</t>
  </si>
  <si>
    <t>1.51</t>
  </si>
  <si>
    <t>123</t>
  </si>
  <si>
    <t>5.18</t>
  </si>
  <si>
    <t>124</t>
  </si>
  <si>
    <t>6.62</t>
  </si>
  <si>
    <t>125</t>
  </si>
  <si>
    <t>126</t>
  </si>
  <si>
    <t>8.1</t>
  </si>
  <si>
    <t>127</t>
  </si>
  <si>
    <t>6.06</t>
  </si>
  <si>
    <t>129</t>
  </si>
  <si>
    <t>6.13</t>
  </si>
  <si>
    <t>130</t>
  </si>
  <si>
    <t>131</t>
  </si>
  <si>
    <t>132</t>
  </si>
  <si>
    <t>133</t>
  </si>
  <si>
    <t>5.07</t>
  </si>
  <si>
    <t>6.61</t>
  </si>
  <si>
    <t>5.25</t>
  </si>
  <si>
    <t>136</t>
  </si>
  <si>
    <t>2.99</t>
  </si>
  <si>
    <t>5.39</t>
  </si>
  <si>
    <t>138</t>
  </si>
  <si>
    <t>3.42</t>
  </si>
  <si>
    <t>139</t>
  </si>
  <si>
    <t>5.54</t>
  </si>
  <si>
    <t>140</t>
  </si>
  <si>
    <t>1.84</t>
  </si>
  <si>
    <t>141</t>
  </si>
  <si>
    <t>5.61</t>
  </si>
  <si>
    <t>3.13</t>
  </si>
  <si>
    <t>143</t>
  </si>
  <si>
    <t>145</t>
  </si>
  <si>
    <t>5.68</t>
  </si>
  <si>
    <t>146</t>
  </si>
  <si>
    <t>3.62</t>
  </si>
  <si>
    <t>147</t>
  </si>
  <si>
    <t>2.64</t>
  </si>
  <si>
    <t>149</t>
  </si>
  <si>
    <t>150</t>
  </si>
  <si>
    <t>3.31</t>
  </si>
  <si>
    <t>151</t>
  </si>
  <si>
    <t>6.76</t>
  </si>
  <si>
    <t>152</t>
  </si>
  <si>
    <t>4.06</t>
  </si>
  <si>
    <t>153</t>
  </si>
  <si>
    <t>1.68</t>
  </si>
  <si>
    <t>154</t>
  </si>
  <si>
    <t>3.43</t>
  </si>
  <si>
    <t>155</t>
  </si>
  <si>
    <t>1.66</t>
  </si>
  <si>
    <t>156</t>
  </si>
  <si>
    <t>7.28</t>
  </si>
  <si>
    <t>157</t>
  </si>
  <si>
    <t>1.19</t>
  </si>
  <si>
    <t>3.46</t>
  </si>
  <si>
    <t>6.17</t>
  </si>
  <si>
    <t>160</t>
  </si>
  <si>
    <t>2.36</t>
  </si>
  <si>
    <t>5.85</t>
  </si>
  <si>
    <t>162</t>
  </si>
  <si>
    <t>4.51</t>
  </si>
  <si>
    <t>163</t>
  </si>
  <si>
    <t>164</t>
  </si>
  <si>
    <t>2.04</t>
  </si>
  <si>
    <t>165</t>
  </si>
  <si>
    <t>166</t>
  </si>
  <si>
    <t>167</t>
  </si>
  <si>
    <t>5.3</t>
  </si>
  <si>
    <t>168</t>
  </si>
  <si>
    <t>169</t>
  </si>
  <si>
    <t>6.74</t>
  </si>
  <si>
    <t>5.47</t>
  </si>
  <si>
    <t>173</t>
  </si>
  <si>
    <t>5.42</t>
  </si>
  <si>
    <t>174</t>
  </si>
  <si>
    <t>175</t>
  </si>
  <si>
    <t>6.05</t>
  </si>
  <si>
    <t>176</t>
  </si>
  <si>
    <t>1.81</t>
  </si>
  <si>
    <t>177</t>
  </si>
  <si>
    <t>178</t>
  </si>
  <si>
    <t>1.56</t>
  </si>
  <si>
    <t>179</t>
  </si>
  <si>
    <t>180</t>
  </si>
  <si>
    <t>181</t>
  </si>
  <si>
    <t>3.3</t>
  </si>
  <si>
    <t>182</t>
  </si>
  <si>
    <t>5.28</t>
  </si>
  <si>
    <t>183</t>
  </si>
  <si>
    <t>184</t>
  </si>
  <si>
    <t>5.77</t>
  </si>
  <si>
    <t>185</t>
  </si>
  <si>
    <t>186</t>
  </si>
  <si>
    <t>187</t>
  </si>
  <si>
    <t>3.9</t>
  </si>
  <si>
    <t>188</t>
  </si>
  <si>
    <t>190</t>
  </si>
  <si>
    <t>5.92</t>
  </si>
  <si>
    <t>191</t>
  </si>
  <si>
    <t>1.82</t>
  </si>
  <si>
    <t>193</t>
  </si>
  <si>
    <t>3.7</t>
  </si>
  <si>
    <t>194</t>
  </si>
  <si>
    <t>1.57</t>
  </si>
  <si>
    <t>1.13</t>
  </si>
  <si>
    <t>197</t>
  </si>
  <si>
    <t>199</t>
  </si>
  <si>
    <t>4.64</t>
  </si>
  <si>
    <t>200</t>
  </si>
  <si>
    <t>1.43</t>
  </si>
  <si>
    <t>201</t>
  </si>
  <si>
    <t>3.26</t>
  </si>
  <si>
    <t>202</t>
  </si>
  <si>
    <t>5.84</t>
  </si>
  <si>
    <t>204</t>
  </si>
  <si>
    <t>2.94</t>
  </si>
  <si>
    <t>205</t>
  </si>
  <si>
    <t>2.28</t>
  </si>
  <si>
    <t>206</t>
  </si>
  <si>
    <t>2.06</t>
  </si>
  <si>
    <t>207</t>
  </si>
  <si>
    <t>5.57</t>
  </si>
  <si>
    <t>208</t>
  </si>
  <si>
    <t>3.32</t>
  </si>
  <si>
    <t>209</t>
  </si>
  <si>
    <t>3.76</t>
  </si>
  <si>
    <t>210</t>
  </si>
  <si>
    <t>7.54</t>
  </si>
  <si>
    <t>211</t>
  </si>
  <si>
    <t>5.55</t>
  </si>
  <si>
    <t>212</t>
  </si>
  <si>
    <t>213</t>
  </si>
  <si>
    <t>3.53</t>
  </si>
  <si>
    <t>214</t>
  </si>
  <si>
    <t>7.77</t>
  </si>
  <si>
    <t>215</t>
  </si>
  <si>
    <t>7.16</t>
  </si>
  <si>
    <t>216</t>
  </si>
  <si>
    <t>7.85</t>
  </si>
  <si>
    <t>218</t>
  </si>
  <si>
    <t>1.23</t>
  </si>
  <si>
    <t>5.78</t>
  </si>
  <si>
    <t>220</t>
  </si>
  <si>
    <t>3.34</t>
  </si>
  <si>
    <t>222</t>
  </si>
  <si>
    <t>6.25</t>
  </si>
  <si>
    <t>223</t>
  </si>
  <si>
    <t>224</t>
  </si>
  <si>
    <t>5.32</t>
  </si>
  <si>
    <t>226</t>
  </si>
  <si>
    <t>227</t>
  </si>
  <si>
    <t>7.04</t>
  </si>
  <si>
    <t>228</t>
  </si>
  <si>
    <t>2.55</t>
  </si>
  <si>
    <t>229</t>
  </si>
  <si>
    <t>5.59</t>
  </si>
  <si>
    <t>230</t>
  </si>
  <si>
    <t>3.1</t>
  </si>
  <si>
    <t>231</t>
  </si>
  <si>
    <t>3.54</t>
  </si>
  <si>
    <t>232</t>
  </si>
  <si>
    <t>3.72</t>
  </si>
  <si>
    <t>233</t>
  </si>
  <si>
    <t>2.2</t>
  </si>
  <si>
    <t>234</t>
  </si>
  <si>
    <t>3.45</t>
  </si>
  <si>
    <t>235</t>
  </si>
  <si>
    <t>3.23</t>
  </si>
  <si>
    <t>236</t>
  </si>
  <si>
    <t>237</t>
  </si>
  <si>
    <t>4.85</t>
  </si>
  <si>
    <t>238</t>
  </si>
  <si>
    <t>239</t>
  </si>
  <si>
    <t>5.96</t>
  </si>
  <si>
    <t>240</t>
  </si>
  <si>
    <t>241</t>
  </si>
  <si>
    <t>2.56</t>
  </si>
  <si>
    <t>242</t>
  </si>
  <si>
    <t>3.51</t>
  </si>
  <si>
    <t>243</t>
  </si>
  <si>
    <t>6.52</t>
  </si>
  <si>
    <t>244</t>
  </si>
  <si>
    <t>6.55</t>
  </si>
  <si>
    <t>245</t>
  </si>
  <si>
    <t>246</t>
  </si>
  <si>
    <t>5.79</t>
  </si>
  <si>
    <t>247</t>
  </si>
  <si>
    <t>248</t>
  </si>
  <si>
    <t>249</t>
  </si>
  <si>
    <t>1.18</t>
  </si>
  <si>
    <t>250</t>
  </si>
  <si>
    <t>2.54</t>
  </si>
  <si>
    <t>251</t>
  </si>
  <si>
    <t>252</t>
  </si>
  <si>
    <t>253</t>
  </si>
  <si>
    <t>5.91</t>
  </si>
  <si>
    <t>254</t>
  </si>
  <si>
    <t>3.88</t>
  </si>
  <si>
    <t>255</t>
  </si>
  <si>
    <t>256</t>
  </si>
  <si>
    <t>5.43</t>
  </si>
  <si>
    <t>257</t>
  </si>
  <si>
    <t>258</t>
  </si>
  <si>
    <t>1.91</t>
  </si>
  <si>
    <t>259</t>
  </si>
  <si>
    <t>260</t>
  </si>
  <si>
    <t>6.93</t>
  </si>
  <si>
    <t>261</t>
  </si>
  <si>
    <t>0.99</t>
  </si>
  <si>
    <t>262</t>
  </si>
  <si>
    <t>2.32</t>
  </si>
  <si>
    <t>263</t>
  </si>
  <si>
    <t>264</t>
  </si>
  <si>
    <t>265</t>
  </si>
  <si>
    <t>266</t>
  </si>
  <si>
    <t>2.51</t>
  </si>
  <si>
    <t>267</t>
  </si>
  <si>
    <t>6.94</t>
  </si>
  <si>
    <t>268</t>
  </si>
  <si>
    <t>269</t>
  </si>
  <si>
    <t>270</t>
  </si>
  <si>
    <t>271</t>
  </si>
  <si>
    <t>6.56</t>
  </si>
  <si>
    <t>272</t>
  </si>
  <si>
    <t>6.19</t>
  </si>
  <si>
    <t>273</t>
  </si>
  <si>
    <t>2.15</t>
  </si>
  <si>
    <t>274</t>
  </si>
  <si>
    <t>5.04</t>
  </si>
  <si>
    <t>275</t>
  </si>
  <si>
    <t>4.28</t>
  </si>
  <si>
    <t>276</t>
  </si>
  <si>
    <t>5.69</t>
  </si>
  <si>
    <t>277</t>
  </si>
  <si>
    <t>6.42</t>
  </si>
  <si>
    <t>278</t>
  </si>
  <si>
    <t>5.7</t>
  </si>
  <si>
    <t>279</t>
  </si>
  <si>
    <t>280</t>
  </si>
  <si>
    <t>1.47</t>
  </si>
  <si>
    <t>281</t>
  </si>
  <si>
    <t>282</t>
  </si>
  <si>
    <t>2.1</t>
  </si>
  <si>
    <t>283</t>
  </si>
  <si>
    <t>284</t>
  </si>
  <si>
    <t>6.23</t>
  </si>
  <si>
    <t>286</t>
  </si>
  <si>
    <t>3.21</t>
  </si>
  <si>
    <t>287</t>
  </si>
  <si>
    <t>3.19</t>
  </si>
  <si>
    <t>288</t>
  </si>
  <si>
    <t>289</t>
  </si>
  <si>
    <t>290</t>
  </si>
  <si>
    <t>291</t>
  </si>
  <si>
    <t>2.24</t>
  </si>
  <si>
    <t>292</t>
  </si>
  <si>
    <t>293</t>
  </si>
  <si>
    <t>4.07</t>
  </si>
  <si>
    <t>294</t>
  </si>
  <si>
    <t>6.16</t>
  </si>
  <si>
    <t>295</t>
  </si>
  <si>
    <t>296</t>
  </si>
  <si>
    <t>3.84</t>
  </si>
  <si>
    <t>297</t>
  </si>
  <si>
    <t>3.82</t>
  </si>
  <si>
    <t>298</t>
  </si>
  <si>
    <t>4.41</t>
  </si>
  <si>
    <t>299</t>
  </si>
  <si>
    <t>1.93</t>
  </si>
  <si>
    <t>300</t>
  </si>
  <si>
    <t>301</t>
  </si>
  <si>
    <t>2.44</t>
  </si>
  <si>
    <t>302</t>
  </si>
  <si>
    <t>303</t>
  </si>
  <si>
    <t>304</t>
  </si>
  <si>
    <t>3.85</t>
  </si>
  <si>
    <t>306</t>
  </si>
  <si>
    <t>307</t>
  </si>
  <si>
    <t>308</t>
  </si>
  <si>
    <t>309</t>
  </si>
  <si>
    <t>1.59</t>
  </si>
  <si>
    <t>310</t>
  </si>
  <si>
    <t>311</t>
  </si>
  <si>
    <t>312</t>
  </si>
  <si>
    <t>6.49</t>
  </si>
  <si>
    <t>313</t>
  </si>
  <si>
    <t>314</t>
  </si>
  <si>
    <t>315</t>
  </si>
  <si>
    <t>2.41</t>
  </si>
  <si>
    <t>316</t>
  </si>
  <si>
    <t>317</t>
  </si>
  <si>
    <t>319</t>
  </si>
  <si>
    <t>4.35</t>
  </si>
  <si>
    <t>320</t>
  </si>
  <si>
    <t>6.08</t>
  </si>
  <si>
    <t>321</t>
  </si>
  <si>
    <t>322</t>
  </si>
  <si>
    <t>323</t>
  </si>
  <si>
    <t>324</t>
  </si>
  <si>
    <t>7.93</t>
  </si>
  <si>
    <t>326</t>
  </si>
  <si>
    <t>4.19</t>
  </si>
  <si>
    <t>327</t>
  </si>
  <si>
    <t>7.64</t>
  </si>
  <si>
    <t>328</t>
  </si>
  <si>
    <t>329</t>
  </si>
  <si>
    <t>4.88</t>
  </si>
  <si>
    <t>330</t>
  </si>
  <si>
    <t>331</t>
  </si>
  <si>
    <t>4.02</t>
  </si>
  <si>
    <t>333</t>
  </si>
  <si>
    <t>3.11</t>
  </si>
  <si>
    <t>334</t>
  </si>
  <si>
    <t>335</t>
  </si>
  <si>
    <t>336</t>
  </si>
  <si>
    <t>337</t>
  </si>
  <si>
    <t>338</t>
  </si>
  <si>
    <t>339</t>
  </si>
  <si>
    <t>340</t>
  </si>
  <si>
    <t>341</t>
  </si>
  <si>
    <t>342</t>
  </si>
  <si>
    <t>343</t>
  </si>
  <si>
    <t>344</t>
  </si>
  <si>
    <t>3.36</t>
  </si>
  <si>
    <t>345</t>
  </si>
  <si>
    <t>3.04</t>
  </si>
  <si>
    <t>346</t>
  </si>
  <si>
    <t>6.43</t>
  </si>
  <si>
    <t>347</t>
  </si>
  <si>
    <t>5.2</t>
  </si>
  <si>
    <t>348</t>
  </si>
  <si>
    <t>1.34</t>
  </si>
  <si>
    <t>349</t>
  </si>
  <si>
    <t>4.18</t>
  </si>
  <si>
    <t>350</t>
  </si>
  <si>
    <t>7.24</t>
  </si>
  <si>
    <t>351</t>
  </si>
  <si>
    <t>3.93</t>
  </si>
  <si>
    <t>2.26</t>
  </si>
  <si>
    <t>353</t>
  </si>
  <si>
    <t>3.56</t>
  </si>
  <si>
    <t>354</t>
  </si>
  <si>
    <t>355</t>
  </si>
  <si>
    <t>1.32</t>
  </si>
  <si>
    <t>356</t>
  </si>
  <si>
    <t>357</t>
  </si>
  <si>
    <t>1.99</t>
  </si>
  <si>
    <t>358</t>
  </si>
  <si>
    <t>2.31</t>
  </si>
  <si>
    <t>360</t>
  </si>
  <si>
    <t>361</t>
  </si>
  <si>
    <t>4.71</t>
  </si>
  <si>
    <t>362</t>
  </si>
  <si>
    <t>363</t>
  </si>
  <si>
    <t>2.74</t>
  </si>
  <si>
    <t>364</t>
  </si>
  <si>
    <t>4.74</t>
  </si>
  <si>
    <t>365</t>
  </si>
  <si>
    <t>6.78</t>
  </si>
  <si>
    <t>366</t>
  </si>
  <si>
    <t>1.8</t>
  </si>
  <si>
    <t>368</t>
  </si>
  <si>
    <t>369</t>
  </si>
  <si>
    <t>370</t>
  </si>
  <si>
    <t>371</t>
  </si>
  <si>
    <t>372</t>
  </si>
  <si>
    <t>6.32</t>
  </si>
  <si>
    <t>373</t>
  </si>
  <si>
    <t>374</t>
  </si>
  <si>
    <t>375</t>
  </si>
  <si>
    <t>5.29</t>
  </si>
  <si>
    <t>376</t>
  </si>
  <si>
    <t>2.58</t>
  </si>
  <si>
    <t>377</t>
  </si>
  <si>
    <t>378</t>
  </si>
  <si>
    <t>379</t>
  </si>
  <si>
    <t>380</t>
  </si>
  <si>
    <t>381</t>
  </si>
  <si>
    <t>382</t>
  </si>
  <si>
    <t>383</t>
  </si>
  <si>
    <t>384</t>
  </si>
  <si>
    <t>5.87</t>
  </si>
  <si>
    <t>385</t>
  </si>
  <si>
    <t>387</t>
  </si>
  <si>
    <t>389</t>
  </si>
  <si>
    <t>390</t>
  </si>
  <si>
    <t>391</t>
  </si>
  <si>
    <t>392</t>
  </si>
  <si>
    <t>6.18</t>
  </si>
  <si>
    <t>393</t>
  </si>
  <si>
    <t>394</t>
  </si>
  <si>
    <t>395</t>
  </si>
  <si>
    <t>396</t>
  </si>
  <si>
    <t>397</t>
  </si>
  <si>
    <t>4.49</t>
  </si>
  <si>
    <t>398</t>
  </si>
  <si>
    <t>399</t>
  </si>
  <si>
    <t>400</t>
  </si>
  <si>
    <t>401</t>
  </si>
  <si>
    <t>1.24</t>
  </si>
  <si>
    <t>402</t>
  </si>
  <si>
    <t>403</t>
  </si>
  <si>
    <t>405</t>
  </si>
  <si>
    <t>406</t>
  </si>
  <si>
    <t>2.4</t>
  </si>
  <si>
    <t>407</t>
  </si>
  <si>
    <t>408</t>
  </si>
  <si>
    <t>409</t>
  </si>
  <si>
    <t>6.64</t>
  </si>
  <si>
    <t>410</t>
  </si>
  <si>
    <t>3.27</t>
  </si>
  <si>
    <t>411</t>
  </si>
  <si>
    <t>412</t>
  </si>
  <si>
    <t>413</t>
  </si>
  <si>
    <t>414</t>
  </si>
  <si>
    <t>4.89</t>
  </si>
  <si>
    <t>415</t>
  </si>
  <si>
    <t>416</t>
  </si>
  <si>
    <t>417</t>
  </si>
  <si>
    <t>2.91</t>
  </si>
  <si>
    <t>418</t>
  </si>
  <si>
    <t>420</t>
  </si>
  <si>
    <t>5.06</t>
  </si>
  <si>
    <t>421</t>
  </si>
  <si>
    <t>422</t>
  </si>
  <si>
    <t>423</t>
  </si>
  <si>
    <t>1.07</t>
  </si>
  <si>
    <t>424</t>
  </si>
  <si>
    <t>1.52</t>
  </si>
  <si>
    <t>425</t>
  </si>
  <si>
    <t>426</t>
  </si>
  <si>
    <t>427</t>
  </si>
  <si>
    <t>428</t>
  </si>
  <si>
    <t>429</t>
  </si>
  <si>
    <t>430</t>
  </si>
  <si>
    <t>431</t>
  </si>
  <si>
    <t>5.24</t>
  </si>
  <si>
    <t>432</t>
  </si>
  <si>
    <t>4.21</t>
  </si>
  <si>
    <t>433</t>
  </si>
  <si>
    <t>434</t>
  </si>
  <si>
    <t>3.25</t>
  </si>
  <si>
    <t>435</t>
  </si>
  <si>
    <t>436</t>
  </si>
  <si>
    <t>437</t>
  </si>
  <si>
    <t>438</t>
  </si>
  <si>
    <t>439</t>
  </si>
  <si>
    <t>440</t>
  </si>
  <si>
    <t>441</t>
  </si>
  <si>
    <t>442</t>
  </si>
  <si>
    <t>443</t>
  </si>
  <si>
    <t>444</t>
  </si>
  <si>
    <t>8.67</t>
  </si>
  <si>
    <t>445</t>
  </si>
  <si>
    <t>4.03</t>
  </si>
  <si>
    <t>446</t>
  </si>
  <si>
    <t>5.86</t>
  </si>
  <si>
    <t>447</t>
  </si>
  <si>
    <t>4.2</t>
  </si>
  <si>
    <t>448</t>
  </si>
  <si>
    <t>4.75</t>
  </si>
  <si>
    <t>449</t>
  </si>
  <si>
    <t>4.61</t>
  </si>
  <si>
    <t>450</t>
  </si>
  <si>
    <t>451</t>
  </si>
  <si>
    <t>452</t>
  </si>
  <si>
    <t>453</t>
  </si>
  <si>
    <t>454</t>
  </si>
  <si>
    <t>455</t>
  </si>
  <si>
    <t>5.35</t>
  </si>
  <si>
    <t>456</t>
  </si>
  <si>
    <t>457</t>
  </si>
  <si>
    <t>458</t>
  </si>
  <si>
    <t>3.18</t>
  </si>
  <si>
    <t>459</t>
  </si>
  <si>
    <t>460</t>
  </si>
  <si>
    <t>7.37</t>
  </si>
  <si>
    <t>461</t>
  </si>
  <si>
    <t>462</t>
  </si>
  <si>
    <t>3.69</t>
  </si>
  <si>
    <t>463</t>
  </si>
  <si>
    <t>4.05</t>
  </si>
  <si>
    <t>464</t>
  </si>
  <si>
    <t>465</t>
  </si>
  <si>
    <t>6.44</t>
  </si>
  <si>
    <t>466</t>
  </si>
  <si>
    <t>467</t>
  </si>
  <si>
    <t>1.89</t>
  </si>
  <si>
    <t>468</t>
  </si>
  <si>
    <t>469</t>
  </si>
  <si>
    <t>470</t>
  </si>
  <si>
    <t>7.42</t>
  </si>
  <si>
    <t>471</t>
  </si>
  <si>
    <t>472</t>
  </si>
  <si>
    <t>473</t>
  </si>
  <si>
    <t>474</t>
  </si>
  <si>
    <t>475</t>
  </si>
  <si>
    <t>476</t>
  </si>
  <si>
    <t>477</t>
  </si>
  <si>
    <t>478</t>
  </si>
  <si>
    <t>4.56</t>
  </si>
  <si>
    <t>479</t>
  </si>
  <si>
    <t>480</t>
  </si>
  <si>
    <t>481</t>
  </si>
  <si>
    <t>5.11</t>
  </si>
  <si>
    <t>482</t>
  </si>
  <si>
    <t>483</t>
  </si>
  <si>
    <t>484</t>
  </si>
  <si>
    <t>485</t>
  </si>
  <si>
    <t>6.66</t>
  </si>
  <si>
    <t>486</t>
  </si>
  <si>
    <t>487</t>
  </si>
  <si>
    <t>5.45</t>
  </si>
  <si>
    <t>488</t>
  </si>
  <si>
    <t>2.34</t>
  </si>
  <si>
    <t>489</t>
  </si>
  <si>
    <t>3.02</t>
  </si>
  <si>
    <t>490</t>
  </si>
  <si>
    <t>491</t>
  </si>
  <si>
    <t>492</t>
  </si>
  <si>
    <t>1.77</t>
  </si>
  <si>
    <t>493</t>
  </si>
  <si>
    <t>494</t>
  </si>
  <si>
    <t>496</t>
  </si>
  <si>
    <t>3.09</t>
  </si>
  <si>
    <t>498</t>
  </si>
  <si>
    <t>499</t>
  </si>
  <si>
    <t>7.43</t>
  </si>
  <si>
    <t>500</t>
  </si>
  <si>
    <t>501</t>
  </si>
  <si>
    <t>7.39</t>
  </si>
  <si>
    <t>502</t>
  </si>
  <si>
    <t>4.86</t>
  </si>
  <si>
    <t>503</t>
  </si>
  <si>
    <t>504</t>
  </si>
  <si>
    <t>2.21</t>
  </si>
  <si>
    <t>505</t>
  </si>
  <si>
    <t>506</t>
  </si>
  <si>
    <t>507</t>
  </si>
  <si>
    <t>508</t>
  </si>
  <si>
    <t>509</t>
  </si>
  <si>
    <t>510</t>
  </si>
  <si>
    <t>511</t>
  </si>
  <si>
    <t>1.22</t>
  </si>
  <si>
    <t>512</t>
  </si>
  <si>
    <t>513</t>
  </si>
  <si>
    <t>514</t>
  </si>
  <si>
    <t>3.47</t>
  </si>
  <si>
    <t>515</t>
  </si>
  <si>
    <t>516</t>
  </si>
  <si>
    <t>1.55</t>
  </si>
  <si>
    <t>517</t>
  </si>
  <si>
    <t>518</t>
  </si>
  <si>
    <t>519</t>
  </si>
  <si>
    <t>520</t>
  </si>
  <si>
    <t>521</t>
  </si>
  <si>
    <t>522</t>
  </si>
  <si>
    <t>524</t>
  </si>
  <si>
    <t>525</t>
  </si>
  <si>
    <t>526</t>
  </si>
  <si>
    <t>527</t>
  </si>
  <si>
    <t>529</t>
  </si>
  <si>
    <t>530</t>
  </si>
  <si>
    <t>3.03</t>
  </si>
  <si>
    <t>533</t>
  </si>
  <si>
    <t>5.41</t>
  </si>
  <si>
    <t>534</t>
  </si>
  <si>
    <t>1.75</t>
  </si>
  <si>
    <t>535</t>
  </si>
  <si>
    <t>1.79</t>
  </si>
  <si>
    <t>536</t>
  </si>
  <si>
    <t>537</t>
  </si>
  <si>
    <t>6.29</t>
  </si>
  <si>
    <t>538</t>
  </si>
  <si>
    <t>539</t>
  </si>
  <si>
    <t>541</t>
  </si>
  <si>
    <t>542</t>
  </si>
  <si>
    <t>544</t>
  </si>
  <si>
    <t>5.12</t>
  </si>
  <si>
    <t>545</t>
  </si>
  <si>
    <t>2.95</t>
  </si>
  <si>
    <t>546</t>
  </si>
  <si>
    <t>547</t>
  </si>
  <si>
    <t>548</t>
  </si>
  <si>
    <t>6.87</t>
  </si>
  <si>
    <t>3.17</t>
  </si>
  <si>
    <t>550</t>
  </si>
  <si>
    <t>6.82</t>
  </si>
  <si>
    <t>3.29</t>
  </si>
  <si>
    <t>554</t>
  </si>
  <si>
    <t>555</t>
  </si>
  <si>
    <t>556</t>
  </si>
  <si>
    <t>5.63</t>
  </si>
  <si>
    <t>557</t>
  </si>
  <si>
    <t>558</t>
  </si>
  <si>
    <t>4.79</t>
  </si>
  <si>
    <t>559</t>
  </si>
  <si>
    <t>560</t>
  </si>
  <si>
    <t>1.73</t>
  </si>
  <si>
    <t>561</t>
  </si>
  <si>
    <t>1.29</t>
  </si>
  <si>
    <t>563</t>
  </si>
  <si>
    <t>564</t>
  </si>
  <si>
    <t>565</t>
  </si>
  <si>
    <t>5.1</t>
  </si>
  <si>
    <t>566</t>
  </si>
  <si>
    <t>6.84</t>
  </si>
  <si>
    <t>569</t>
  </si>
  <si>
    <t>570</t>
  </si>
  <si>
    <t>4.15</t>
  </si>
  <si>
    <t>572</t>
  </si>
  <si>
    <t>573</t>
  </si>
  <si>
    <t>3.61</t>
  </si>
  <si>
    <t>574</t>
  </si>
  <si>
    <t>2.7</t>
  </si>
  <si>
    <t>575</t>
  </si>
  <si>
    <t>7.13</t>
  </si>
  <si>
    <t>576</t>
  </si>
  <si>
    <t>577</t>
  </si>
  <si>
    <t>3.22</t>
  </si>
  <si>
    <t>578</t>
  </si>
  <si>
    <t>6.54</t>
  </si>
  <si>
    <t>579</t>
  </si>
  <si>
    <t>7.49</t>
  </si>
  <si>
    <t>581</t>
  </si>
  <si>
    <t>582</t>
  </si>
  <si>
    <t>7.05</t>
  </si>
  <si>
    <t>585</t>
  </si>
  <si>
    <t>2.49</t>
  </si>
  <si>
    <t>587</t>
  </si>
  <si>
    <t>588</t>
  </si>
  <si>
    <t>6.26</t>
  </si>
  <si>
    <t>589</t>
  </si>
  <si>
    <t>590</t>
  </si>
  <si>
    <t>591</t>
  </si>
  <si>
    <t>592</t>
  </si>
  <si>
    <t>593</t>
  </si>
  <si>
    <t>594</t>
  </si>
  <si>
    <t>595</t>
  </si>
  <si>
    <t>1.33</t>
  </si>
  <si>
    <t>596</t>
  </si>
  <si>
    <t>598</t>
  </si>
  <si>
    <t>600</t>
  </si>
  <si>
    <t>601</t>
  </si>
  <si>
    <t>602</t>
  </si>
  <si>
    <t>603</t>
  </si>
  <si>
    <t>5.4</t>
  </si>
  <si>
    <t>604</t>
  </si>
  <si>
    <t>2.84</t>
  </si>
  <si>
    <t>605</t>
  </si>
  <si>
    <t>606</t>
  </si>
  <si>
    <t>3.68</t>
  </si>
  <si>
    <t>608</t>
  </si>
  <si>
    <t>609</t>
  </si>
  <si>
    <t>610</t>
  </si>
  <si>
    <t>1.2</t>
  </si>
  <si>
    <t>611</t>
  </si>
  <si>
    <t>5.46</t>
  </si>
  <si>
    <t>612</t>
  </si>
  <si>
    <t>613</t>
  </si>
  <si>
    <t>614</t>
  </si>
  <si>
    <t>5.95</t>
  </si>
  <si>
    <t>615</t>
  </si>
  <si>
    <t>616</t>
  </si>
  <si>
    <t>4.36</t>
  </si>
  <si>
    <t>617</t>
  </si>
  <si>
    <t>2.53</t>
  </si>
  <si>
    <t>618</t>
  </si>
  <si>
    <t>2.92</t>
  </si>
  <si>
    <t>3.83</t>
  </si>
  <si>
    <t>621</t>
  </si>
  <si>
    <t>4.31</t>
  </si>
  <si>
    <t>622</t>
  </si>
  <si>
    <t>623</t>
  </si>
  <si>
    <t>2.81</t>
  </si>
  <si>
    <t>624</t>
  </si>
  <si>
    <t>625</t>
  </si>
  <si>
    <t>3.14</t>
  </si>
  <si>
    <t>626</t>
  </si>
  <si>
    <t>627</t>
  </si>
  <si>
    <t>628</t>
  </si>
  <si>
    <t>4.39</t>
  </si>
  <si>
    <t>629</t>
  </si>
  <si>
    <t>1.85</t>
  </si>
  <si>
    <t>630</t>
  </si>
  <si>
    <t>1.39</t>
  </si>
  <si>
    <t>631</t>
  </si>
  <si>
    <t>2.78</t>
  </si>
  <si>
    <t>632</t>
  </si>
  <si>
    <t>633</t>
  </si>
  <si>
    <t>634</t>
  </si>
  <si>
    <t>635</t>
  </si>
  <si>
    <t>636</t>
  </si>
  <si>
    <t>637</t>
  </si>
  <si>
    <t>638</t>
  </si>
  <si>
    <t>639</t>
  </si>
  <si>
    <t>5.14</t>
  </si>
  <si>
    <t>640</t>
  </si>
  <si>
    <t>641</t>
  </si>
  <si>
    <t>2.82</t>
  </si>
  <si>
    <t>643</t>
  </si>
  <si>
    <t>644</t>
  </si>
  <si>
    <t>3.35</t>
  </si>
  <si>
    <t>645</t>
  </si>
  <si>
    <t>646</t>
  </si>
  <si>
    <t>647</t>
  </si>
  <si>
    <t>648</t>
  </si>
  <si>
    <t>649</t>
  </si>
  <si>
    <t>650</t>
  </si>
  <si>
    <t>651</t>
  </si>
  <si>
    <t>2.76</t>
  </si>
  <si>
    <t>652</t>
  </si>
  <si>
    <t>2.85</t>
  </si>
  <si>
    <t>653</t>
  </si>
  <si>
    <t>654</t>
  </si>
  <si>
    <t>655</t>
  </si>
  <si>
    <t>656</t>
  </si>
  <si>
    <t>657</t>
  </si>
  <si>
    <t>4.43</t>
  </si>
  <si>
    <t>658</t>
  </si>
  <si>
    <t>659</t>
  </si>
  <si>
    <t>7.62</t>
  </si>
  <si>
    <t>660</t>
  </si>
  <si>
    <t>661</t>
  </si>
  <si>
    <t>662</t>
  </si>
  <si>
    <t>8.19</t>
  </si>
  <si>
    <t>663</t>
  </si>
  <si>
    <t>1.31</t>
  </si>
  <si>
    <t>664</t>
  </si>
  <si>
    <t>665</t>
  </si>
  <si>
    <t>4.47</t>
  </si>
  <si>
    <t>666</t>
  </si>
  <si>
    <t>667</t>
  </si>
  <si>
    <t>668</t>
  </si>
  <si>
    <t>670</t>
  </si>
  <si>
    <t>7.26</t>
  </si>
  <si>
    <t>672</t>
  </si>
  <si>
    <t>673</t>
  </si>
  <si>
    <t>674</t>
  </si>
  <si>
    <t>675</t>
  </si>
  <si>
    <t>676</t>
  </si>
  <si>
    <t>677</t>
  </si>
  <si>
    <t>678</t>
  </si>
  <si>
    <t>679</t>
  </si>
  <si>
    <t>680</t>
  </si>
  <si>
    <t>6.69</t>
  </si>
  <si>
    <t>681</t>
  </si>
  <si>
    <t>2.47</t>
  </si>
  <si>
    <t>682</t>
  </si>
  <si>
    <t>7.41</t>
  </si>
  <si>
    <t>683</t>
  </si>
  <si>
    <t>684</t>
  </si>
  <si>
    <t>685</t>
  </si>
  <si>
    <t>686</t>
  </si>
  <si>
    <t>687</t>
  </si>
  <si>
    <t>688</t>
  </si>
  <si>
    <t>1.38</t>
  </si>
  <si>
    <t>689</t>
  </si>
  <si>
    <t>690</t>
  </si>
  <si>
    <t>691</t>
  </si>
  <si>
    <t>5.93</t>
  </si>
  <si>
    <t>692</t>
  </si>
  <si>
    <t>693</t>
  </si>
  <si>
    <t>694</t>
  </si>
  <si>
    <t>695</t>
  </si>
  <si>
    <t>696</t>
  </si>
  <si>
    <t>697</t>
  </si>
  <si>
    <t>698</t>
  </si>
  <si>
    <t>699</t>
  </si>
  <si>
    <t>700</t>
  </si>
  <si>
    <t>702</t>
  </si>
  <si>
    <t>703</t>
  </si>
  <si>
    <t>704</t>
  </si>
  <si>
    <t>5.8</t>
  </si>
  <si>
    <t>705</t>
  </si>
  <si>
    <t>4.3</t>
  </si>
  <si>
    <t>706</t>
  </si>
  <si>
    <t>6.22</t>
  </si>
  <si>
    <t>707</t>
  </si>
  <si>
    <t>708</t>
  </si>
  <si>
    <t>6.3</t>
  </si>
  <si>
    <t>709</t>
  </si>
  <si>
    <t>710</t>
  </si>
  <si>
    <t>6.31</t>
  </si>
  <si>
    <t>711</t>
  </si>
  <si>
    <t>6.53</t>
  </si>
  <si>
    <t>714</t>
  </si>
  <si>
    <t>715</t>
  </si>
  <si>
    <t>716</t>
  </si>
  <si>
    <t>717</t>
  </si>
  <si>
    <t>718</t>
  </si>
  <si>
    <t>719</t>
  </si>
  <si>
    <t>720</t>
  </si>
  <si>
    <t>721</t>
  </si>
  <si>
    <t>5.88</t>
  </si>
  <si>
    <t>722</t>
  </si>
  <si>
    <t>2.17</t>
  </si>
  <si>
    <t>723</t>
  </si>
  <si>
    <t>724</t>
  </si>
  <si>
    <t>4.1</t>
  </si>
  <si>
    <t>725</t>
  </si>
  <si>
    <t>5.83</t>
  </si>
  <si>
    <t>726</t>
  </si>
  <si>
    <t>727</t>
  </si>
  <si>
    <t>1.28</t>
  </si>
  <si>
    <t>728</t>
  </si>
  <si>
    <t>2.69</t>
  </si>
  <si>
    <t>729</t>
  </si>
  <si>
    <t>4.44</t>
  </si>
  <si>
    <t>730</t>
  </si>
  <si>
    <t>4.08</t>
  </si>
  <si>
    <t>731</t>
  </si>
  <si>
    <t>732</t>
  </si>
  <si>
    <t>733</t>
  </si>
  <si>
    <t>734</t>
  </si>
  <si>
    <t>6.88</t>
  </si>
  <si>
    <t>735</t>
  </si>
  <si>
    <t>736</t>
  </si>
  <si>
    <t>3.07</t>
  </si>
  <si>
    <t>737</t>
  </si>
  <si>
    <t>2.87</t>
  </si>
  <si>
    <t>738</t>
  </si>
  <si>
    <t>739</t>
  </si>
  <si>
    <t>740</t>
  </si>
  <si>
    <t>4.59</t>
  </si>
  <si>
    <t>741</t>
  </si>
  <si>
    <t>743</t>
  </si>
  <si>
    <t>744</t>
  </si>
  <si>
    <t>2.52</t>
  </si>
  <si>
    <t>745</t>
  </si>
  <si>
    <t>746</t>
  </si>
  <si>
    <t>747</t>
  </si>
  <si>
    <t>1.78</t>
  </si>
  <si>
    <t>749</t>
  </si>
  <si>
    <t>750</t>
  </si>
  <si>
    <t>751</t>
  </si>
  <si>
    <t>1.62</t>
  </si>
  <si>
    <t>752</t>
  </si>
  <si>
    <t>1.87</t>
  </si>
  <si>
    <t>753</t>
  </si>
  <si>
    <t>2.86</t>
  </si>
  <si>
    <t>754</t>
  </si>
  <si>
    <t>755</t>
  </si>
  <si>
    <t>756</t>
  </si>
  <si>
    <t>3.06</t>
  </si>
  <si>
    <t>757</t>
  </si>
  <si>
    <t>758</t>
  </si>
  <si>
    <t>759</t>
  </si>
  <si>
    <t>760</t>
  </si>
  <si>
    <t>761</t>
  </si>
  <si>
    <t>3.08</t>
  </si>
  <si>
    <t>762</t>
  </si>
  <si>
    <t>763</t>
  </si>
  <si>
    <t>764</t>
  </si>
  <si>
    <t>7.31</t>
  </si>
  <si>
    <t>765</t>
  </si>
  <si>
    <t>766</t>
  </si>
  <si>
    <t>767</t>
  </si>
  <si>
    <t>768</t>
  </si>
  <si>
    <t>6.71</t>
  </si>
  <si>
    <t>769</t>
  </si>
  <si>
    <t>770</t>
  </si>
  <si>
    <t>771</t>
  </si>
  <si>
    <t>7.34</t>
  </si>
  <si>
    <t>772</t>
  </si>
  <si>
    <t>773</t>
  </si>
  <si>
    <t>774</t>
  </si>
  <si>
    <t>775</t>
  </si>
  <si>
    <t>776</t>
  </si>
  <si>
    <t>777</t>
  </si>
  <si>
    <t>6.27</t>
  </si>
  <si>
    <t>778</t>
  </si>
  <si>
    <t>779</t>
  </si>
  <si>
    <t>6.85</t>
  </si>
  <si>
    <t>780</t>
  </si>
  <si>
    <t>781</t>
  </si>
  <si>
    <t>782</t>
  </si>
  <si>
    <t>783</t>
  </si>
  <si>
    <t>784</t>
  </si>
  <si>
    <t>785</t>
  </si>
  <si>
    <t>786</t>
  </si>
  <si>
    <t>787</t>
  </si>
  <si>
    <t>788</t>
  </si>
  <si>
    <t>789</t>
  </si>
  <si>
    <t>790</t>
  </si>
  <si>
    <t>791</t>
  </si>
  <si>
    <t>6.83</t>
  </si>
  <si>
    <t>792</t>
  </si>
  <si>
    <t>3.12</t>
  </si>
  <si>
    <t>793</t>
  </si>
  <si>
    <t>794</t>
  </si>
  <si>
    <t>795</t>
  </si>
  <si>
    <t>3.86</t>
  </si>
  <si>
    <t>797</t>
  </si>
  <si>
    <t>1.05</t>
  </si>
  <si>
    <t>798</t>
  </si>
  <si>
    <t>7.66</t>
  </si>
  <si>
    <t>799</t>
  </si>
  <si>
    <t>800</t>
  </si>
  <si>
    <t>803</t>
  </si>
  <si>
    <t>804</t>
  </si>
  <si>
    <t>805</t>
  </si>
  <si>
    <t>6.09</t>
  </si>
  <si>
    <t>806</t>
  </si>
  <si>
    <t>4.42</t>
  </si>
  <si>
    <t>807</t>
  </si>
  <si>
    <t>808</t>
  </si>
  <si>
    <t>809</t>
  </si>
  <si>
    <t>810</t>
  </si>
  <si>
    <t>811</t>
  </si>
  <si>
    <t>5.89</t>
  </si>
  <si>
    <t>812</t>
  </si>
  <si>
    <t>813</t>
  </si>
  <si>
    <t>814</t>
  </si>
  <si>
    <t>815</t>
  </si>
  <si>
    <t>816</t>
  </si>
  <si>
    <t>817</t>
  </si>
  <si>
    <t>818</t>
  </si>
  <si>
    <t>6.73</t>
  </si>
  <si>
    <t>819</t>
  </si>
  <si>
    <t>820</t>
  </si>
  <si>
    <t>821</t>
  </si>
  <si>
    <t>822</t>
  </si>
  <si>
    <t>823</t>
  </si>
  <si>
    <t>824</t>
  </si>
  <si>
    <t>6.77</t>
  </si>
  <si>
    <t>826</t>
  </si>
  <si>
    <t>827</t>
  </si>
  <si>
    <t>828</t>
  </si>
  <si>
    <t>829</t>
  </si>
  <si>
    <t>830</t>
  </si>
  <si>
    <t>1.06</t>
  </si>
  <si>
    <t>831</t>
  </si>
  <si>
    <t>832</t>
  </si>
  <si>
    <t>2.42</t>
  </si>
  <si>
    <t>833</t>
  </si>
  <si>
    <t>834</t>
  </si>
  <si>
    <t>2.09</t>
  </si>
  <si>
    <t>835</t>
  </si>
  <si>
    <t>836</t>
  </si>
  <si>
    <t>837</t>
  </si>
  <si>
    <t>4.69</t>
  </si>
  <si>
    <t>838</t>
  </si>
  <si>
    <t>839</t>
  </si>
  <si>
    <t>840</t>
  </si>
  <si>
    <t>2.35</t>
  </si>
  <si>
    <t>841</t>
  </si>
  <si>
    <t>842</t>
  </si>
  <si>
    <t>4.76</t>
  </si>
  <si>
    <t>843</t>
  </si>
  <si>
    <t>844</t>
  </si>
  <si>
    <t>845</t>
  </si>
  <si>
    <t>846</t>
  </si>
  <si>
    <t>7.61</t>
  </si>
  <si>
    <t>847</t>
  </si>
  <si>
    <t>848</t>
  </si>
  <si>
    <t>3.63</t>
  </si>
  <si>
    <t>849</t>
  </si>
  <si>
    <t>850</t>
  </si>
  <si>
    <t>1.42</t>
  </si>
  <si>
    <t>851</t>
  </si>
  <si>
    <t>852</t>
  </si>
  <si>
    <t>853</t>
  </si>
  <si>
    <t>6.9</t>
  </si>
  <si>
    <t>854</t>
  </si>
  <si>
    <t>855</t>
  </si>
  <si>
    <t>856</t>
  </si>
  <si>
    <t>857</t>
  </si>
  <si>
    <t>4.95</t>
  </si>
  <si>
    <t>858</t>
  </si>
  <si>
    <t>859</t>
  </si>
  <si>
    <t>861</t>
  </si>
  <si>
    <t>862</t>
  </si>
  <si>
    <t>863</t>
  </si>
  <si>
    <t>864</t>
  </si>
  <si>
    <t>865</t>
  </si>
  <si>
    <t>7.12</t>
  </si>
  <si>
    <t>866</t>
  </si>
  <si>
    <t>867</t>
  </si>
  <si>
    <t>6.68</t>
  </si>
  <si>
    <t>868</t>
  </si>
  <si>
    <t>869</t>
  </si>
  <si>
    <t>4.46</t>
  </si>
  <si>
    <t>870</t>
  </si>
  <si>
    <t>871</t>
  </si>
  <si>
    <t>872</t>
  </si>
  <si>
    <t>873</t>
  </si>
  <si>
    <t>875</t>
  </si>
  <si>
    <t>876</t>
  </si>
  <si>
    <t>877</t>
  </si>
  <si>
    <t>878</t>
  </si>
  <si>
    <t>7.52</t>
  </si>
  <si>
    <t>879</t>
  </si>
  <si>
    <t>8.58</t>
  </si>
  <si>
    <t>880</t>
  </si>
  <si>
    <t>3.67</t>
  </si>
  <si>
    <t>881</t>
  </si>
  <si>
    <t>882</t>
  </si>
  <si>
    <t>883</t>
  </si>
  <si>
    <t>884</t>
  </si>
  <si>
    <t>885</t>
  </si>
  <si>
    <t>886</t>
  </si>
  <si>
    <t>887</t>
  </si>
  <si>
    <t>6.2</t>
  </si>
  <si>
    <t>888</t>
  </si>
  <si>
    <t>6.72</t>
  </si>
  <si>
    <t>889</t>
  </si>
  <si>
    <t>7.35</t>
  </si>
  <si>
    <t>890</t>
  </si>
  <si>
    <t>891</t>
  </si>
  <si>
    <t>892</t>
  </si>
  <si>
    <t>893</t>
  </si>
  <si>
    <t>6.96</t>
  </si>
  <si>
    <t>894</t>
  </si>
  <si>
    <t>895</t>
  </si>
  <si>
    <t>896</t>
  </si>
  <si>
    <t>897</t>
  </si>
  <si>
    <t>7.36</t>
  </si>
  <si>
    <t>898</t>
  </si>
  <si>
    <t>899</t>
  </si>
  <si>
    <t>1.17</t>
  </si>
  <si>
    <t>900</t>
  </si>
  <si>
    <t>901</t>
  </si>
  <si>
    <t>902</t>
  </si>
  <si>
    <t>903</t>
  </si>
  <si>
    <t>904</t>
  </si>
  <si>
    <t>905</t>
  </si>
  <si>
    <t>906</t>
  </si>
  <si>
    <t>2.39</t>
  </si>
  <si>
    <t>907</t>
  </si>
  <si>
    <t>908</t>
  </si>
  <si>
    <t>910</t>
  </si>
  <si>
    <t>911</t>
  </si>
  <si>
    <t>912</t>
  </si>
  <si>
    <t>913</t>
  </si>
  <si>
    <t>914</t>
  </si>
  <si>
    <t>915</t>
  </si>
  <si>
    <t>916</t>
  </si>
  <si>
    <t>917</t>
  </si>
  <si>
    <t>918</t>
  </si>
  <si>
    <t>919</t>
  </si>
  <si>
    <t>8.66</t>
  </si>
  <si>
    <t>920</t>
  </si>
  <si>
    <t>3.94</t>
  </si>
  <si>
    <t>921</t>
  </si>
  <si>
    <t>922</t>
  </si>
  <si>
    <t>923</t>
  </si>
  <si>
    <t>924</t>
  </si>
  <si>
    <t>925</t>
  </si>
  <si>
    <t>926</t>
  </si>
  <si>
    <t>927</t>
  </si>
  <si>
    <t>3.8</t>
  </si>
  <si>
    <t>928</t>
  </si>
  <si>
    <t>929</t>
  </si>
  <si>
    <t>930</t>
  </si>
  <si>
    <t>931</t>
  </si>
  <si>
    <t>1.41</t>
  </si>
  <si>
    <t>932</t>
  </si>
  <si>
    <t>3.92</t>
  </si>
  <si>
    <t>933</t>
  </si>
  <si>
    <t>934</t>
  </si>
  <si>
    <t>935</t>
  </si>
  <si>
    <t>2.13</t>
  </si>
  <si>
    <t>936</t>
  </si>
  <si>
    <t>937</t>
  </si>
  <si>
    <t>3.05</t>
  </si>
  <si>
    <t>938</t>
  </si>
  <si>
    <t>939</t>
  </si>
  <si>
    <t>940</t>
  </si>
  <si>
    <t>941</t>
  </si>
  <si>
    <t>942</t>
  </si>
  <si>
    <t>944</t>
  </si>
  <si>
    <t>945</t>
  </si>
  <si>
    <t>946</t>
  </si>
  <si>
    <t>8.42</t>
  </si>
  <si>
    <t>947</t>
  </si>
  <si>
    <t>948</t>
  </si>
  <si>
    <t>949</t>
  </si>
  <si>
    <t>1.67</t>
  </si>
  <si>
    <t>951</t>
  </si>
  <si>
    <t>1.74</t>
  </si>
  <si>
    <t>952</t>
  </si>
  <si>
    <t>953</t>
  </si>
  <si>
    <t>956</t>
  </si>
  <si>
    <t>957</t>
  </si>
  <si>
    <t>958</t>
  </si>
  <si>
    <t>959</t>
  </si>
  <si>
    <t>960</t>
  </si>
  <si>
    <t>961</t>
  </si>
  <si>
    <t>962</t>
  </si>
  <si>
    <t>963</t>
  </si>
  <si>
    <t>964</t>
  </si>
  <si>
    <t>7.17</t>
  </si>
  <si>
    <t>965</t>
  </si>
  <si>
    <t>966</t>
  </si>
  <si>
    <t>967</t>
  </si>
  <si>
    <t>969</t>
  </si>
  <si>
    <t>970</t>
  </si>
  <si>
    <t>1.45</t>
  </si>
  <si>
    <t>971</t>
  </si>
  <si>
    <t>972</t>
  </si>
  <si>
    <t>973</t>
  </si>
  <si>
    <t>7.22</t>
  </si>
  <si>
    <t>974</t>
  </si>
  <si>
    <t>975</t>
  </si>
  <si>
    <t>976</t>
  </si>
  <si>
    <t>977</t>
  </si>
  <si>
    <t>978</t>
  </si>
  <si>
    <t>979</t>
  </si>
  <si>
    <t>980</t>
  </si>
  <si>
    <t>981</t>
  </si>
  <si>
    <t>982</t>
  </si>
  <si>
    <t>1.95</t>
  </si>
  <si>
    <t>983</t>
  </si>
  <si>
    <t>984</t>
  </si>
  <si>
    <t>985</t>
  </si>
  <si>
    <t>986</t>
  </si>
  <si>
    <t>987</t>
  </si>
  <si>
    <t>988</t>
  </si>
  <si>
    <t>989</t>
  </si>
  <si>
    <t>990</t>
  </si>
  <si>
    <t>991</t>
  </si>
  <si>
    <t>4.62</t>
  </si>
  <si>
    <t>992</t>
  </si>
  <si>
    <t>1.7</t>
  </si>
  <si>
    <t>993</t>
  </si>
  <si>
    <t>994</t>
  </si>
  <si>
    <t>995</t>
  </si>
  <si>
    <t>5.9</t>
  </si>
  <si>
    <t>996</t>
  </si>
  <si>
    <t>997</t>
  </si>
  <si>
    <t>998</t>
  </si>
  <si>
    <t>999</t>
  </si>
  <si>
    <t>4.34</t>
  </si>
  <si>
    <t>1000</t>
  </si>
  <si>
    <t>Données:</t>
  </si>
  <si>
    <t>Dans cette feuille, on a importé nos tables sql sous format csv</t>
  </si>
  <si>
    <t>Requête_SQL:</t>
  </si>
  <si>
    <t xml:space="preserve">Dans cette feuille, on a indiqué les requêtes utilisées pour obtenir nos tables SQL selon les questions posées. </t>
  </si>
  <si>
    <t>Schéma:</t>
  </si>
  <si>
    <t>On a refait sur MySQL une version plus claire pour nous du schéma des tables de la base de données</t>
  </si>
  <si>
    <t>Catégorie_film:</t>
  </si>
  <si>
    <t>On a répondu aux questions posées à l'aide de graphique, de tables et de requêtes SQL. On a interprété les données.</t>
  </si>
  <si>
    <t>Vision_clients:</t>
  </si>
  <si>
    <t>Vision_location:</t>
  </si>
  <si>
    <t>Conclusion:</t>
  </si>
  <si>
    <t>On a répondu aux 3 question posées</t>
  </si>
  <si>
    <t>Numéro</t>
  </si>
  <si>
    <t>Dans cette feuille, on a importé deux tableaux: un trié en fonction du plus grand nombre de locations effectuées par un client, l'autre en fonction du plus grand montant total dépensé. On a mis une macro permettant d'afficher les N premières lignes de chaque tableaux (selon la volonté de l'utilisateur), une macro permettant d'afficher toutes les lignes des deux tableaux.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</si>
</sst>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5"/>
      <color rgb="FFED7D31"/>
      <name val="Arial"/>
      <family val="2"/>
    </font>
    <font>
      <b/>
      <sz val="36"/>
      <color theme="1"/>
      <name val="Arial Rounded MT Bold"/>
      <family val="2"/>
    </font>
    <font>
      <b/>
      <sz val="11"/>
      <color theme="0"/>
      <name val="Calibri"/>
      <family val="2"/>
      <scheme val="minor"/>
    </font>
  </fonts>
  <fills count="4">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26">
    <xf numFmtId="0" fontId="0" fillId="0" borderId="0" xfId="0"/>
    <xf numFmtId="0" fontId="1" fillId="0" borderId="0" xfId="0" applyFont="1" applyAlignment="1">
      <alignment horizontal="left" vertical="center" indent="3" readingOrder="1"/>
    </xf>
    <xf numFmtId="22" fontId="0" fillId="0" borderId="0" xfId="0" applyNumberFormat="1"/>
    <xf numFmtId="0" fontId="0" fillId="0" borderId="0" xfId="0" applyAlignment="1">
      <alignment horizontal="center"/>
    </xf>
    <xf numFmtId="0" fontId="0" fillId="0" borderId="0" xfId="0" pivotButton="1"/>
    <xf numFmtId="0" fontId="3" fillId="2" borderId="1" xfId="0" applyFont="1" applyFill="1" applyBorder="1"/>
    <xf numFmtId="0" fontId="3" fillId="2" borderId="2" xfId="0" applyFont="1" applyFill="1" applyBorder="1"/>
    <xf numFmtId="0" fontId="0" fillId="3" borderId="2" xfId="0" applyFont="1" applyFill="1" applyBorder="1"/>
    <xf numFmtId="0" fontId="0" fillId="3" borderId="1" xfId="0" applyFont="1" applyFill="1" applyBorder="1"/>
    <xf numFmtId="0" fontId="0" fillId="0" borderId="2" xfId="0" applyFont="1" applyBorder="1"/>
    <xf numFmtId="0" fontId="0" fillId="0" borderId="1" xfId="0" applyFont="1" applyBorder="1"/>
    <xf numFmtId="0" fontId="0" fillId="0" borderId="0" xfId="0" applyNumberFormat="1"/>
    <xf numFmtId="2" fontId="0" fillId="0" borderId="0" xfId="0" applyNumberFormat="1"/>
    <xf numFmtId="0" fontId="3" fillId="2" borderId="1" xfId="0" applyNumberFormat="1" applyFont="1" applyFill="1" applyBorder="1"/>
    <xf numFmtId="0" fontId="3" fillId="2" borderId="3" xfId="0" applyNumberFormat="1" applyFont="1" applyFill="1" applyBorder="1"/>
    <xf numFmtId="0" fontId="0" fillId="3" borderId="1" xfId="0" applyNumberFormat="1" applyFont="1" applyFill="1" applyBorder="1"/>
    <xf numFmtId="0" fontId="0" fillId="3" borderId="3" xfId="0" applyNumberFormat="1" applyFont="1" applyFill="1" applyBorder="1"/>
    <xf numFmtId="0" fontId="0" fillId="0" borderId="1" xfId="0" applyNumberFormat="1" applyFont="1" applyBorder="1"/>
    <xf numFmtId="0" fontId="0" fillId="0" borderId="3" xfId="0" applyNumberFormat="1" applyFont="1" applyBorder="1"/>
    <xf numFmtId="2" fontId="3" fillId="2" borderId="2" xfId="0" applyNumberFormat="1" applyFont="1" applyFill="1" applyBorder="1"/>
    <xf numFmtId="2" fontId="0" fillId="3" borderId="2" xfId="0" applyNumberFormat="1" applyFont="1" applyFill="1" applyBorder="1"/>
    <xf numFmtId="2" fontId="0" fillId="0" borderId="2" xfId="0" applyNumberFormat="1" applyFont="1" applyBorder="1"/>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cellXfs>
  <cellStyles count="1">
    <cellStyle name="Normal" xfId="0" builtinId="0"/>
  </cellStyles>
  <dxfs count="25">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 formatCode="0.00"/>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[SAE_TABLEUR_VersionFinale.xlsm]Catégorie_film!Tableau croisé dynamique1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Nombre de films par categorie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Catégorie_film!$C$16</c:f>
              <c:strCache>
                <c:ptCount val="1"/>
                <c:pt idx="0">
                  <c:v>Total</c:v>
                </c:pt>
              </c:strCache>
            </c:strRef>
          </c:tx>
          <c:spPr>
            <a:solidFill>
              <a:schemeClr val="accent1"/>
            </a:solidFill>
            <a:ln>
              <a:noFill/>
            </a:ln>
            <a:effectLst/>
          </c:spPr>
          <c:invertIfNegative val="0"/>
          <c:cat>
            <c:strRef>
              <c:f>Catégorie_film!$B$17:$B$33</c:f>
              <c:strCache>
                <c:ptCount val="16"/>
                <c:pt idx="0">
                  <c:v>Action</c:v>
                </c:pt>
                <c:pt idx="1">
                  <c:v>Animation</c:v>
                </c:pt>
                <c:pt idx="2">
                  <c:v>Children</c:v>
                </c:pt>
                <c:pt idx="3">
                  <c:v>Classics</c:v>
                </c:pt>
                <c:pt idx="4">
                  <c:v>Comedy</c:v>
                </c:pt>
                <c:pt idx="5">
                  <c:v>Documentary</c:v>
                </c:pt>
                <c:pt idx="6">
                  <c:v>Drama</c:v>
                </c:pt>
                <c:pt idx="7">
                  <c:v>Family</c:v>
                </c:pt>
                <c:pt idx="8">
                  <c:v>Foreign</c:v>
                </c:pt>
                <c:pt idx="9">
                  <c:v>Games</c:v>
                </c:pt>
                <c:pt idx="10">
                  <c:v>Horror</c:v>
                </c:pt>
                <c:pt idx="11">
                  <c:v>Music</c:v>
                </c:pt>
                <c:pt idx="12">
                  <c:v>New</c:v>
                </c:pt>
                <c:pt idx="13">
                  <c:v>Sci-Fi</c:v>
                </c:pt>
                <c:pt idx="14">
                  <c:v>Sports</c:v>
                </c:pt>
                <c:pt idx="15">
                  <c:v>Travel</c:v>
                </c:pt>
              </c:strCache>
            </c:strRef>
          </c:cat>
          <c:val>
            <c:numRef>
              <c:f>Catégorie_film!$C$17:$C$33</c:f>
              <c:numCache>
                <c:formatCode>General</c:formatCode>
                <c:ptCount val="16"/>
                <c:pt idx="0">
                  <c:v>64</c:v>
                </c:pt>
                <c:pt idx="1">
                  <c:v>66</c:v>
                </c:pt>
                <c:pt idx="2">
                  <c:v>60</c:v>
                </c:pt>
                <c:pt idx="3">
                  <c:v>57</c:v>
                </c:pt>
                <c:pt idx="4">
                  <c:v>58</c:v>
                </c:pt>
                <c:pt idx="5">
                  <c:v>68</c:v>
                </c:pt>
                <c:pt idx="6">
                  <c:v>62</c:v>
                </c:pt>
                <c:pt idx="7">
                  <c:v>69</c:v>
                </c:pt>
                <c:pt idx="8">
                  <c:v>73</c:v>
                </c:pt>
                <c:pt idx="9">
                  <c:v>61</c:v>
                </c:pt>
                <c:pt idx="10">
                  <c:v>56</c:v>
                </c:pt>
                <c:pt idx="11">
                  <c:v>51</c:v>
                </c:pt>
                <c:pt idx="12">
                  <c:v>63</c:v>
                </c:pt>
                <c:pt idx="13">
                  <c:v>61</c:v>
                </c:pt>
                <c:pt idx="14">
                  <c:v>74</c:v>
                </c:pt>
                <c:pt idx="15">
                  <c:v>57</c:v>
                </c:pt>
              </c:numCache>
            </c:numRef>
          </c:val>
          <c:extLst>
            <c:ext xmlns:c16="http://schemas.microsoft.com/office/drawing/2014/chart" uri="{C3380CC4-5D6E-409C-BE32-E72D297353CC}">
              <c16:uniqueId val="{00000005-00CA-4B46-938E-44A86948A03F}"/>
            </c:ext>
          </c:extLst>
        </c:ser>
        <c:dLbls>
          <c:showLegendKey val="0"/>
          <c:showVal val="0"/>
          <c:showCatName val="0"/>
          <c:showSerName val="0"/>
          <c:showPercent val="0"/>
          <c:showBubbleSize val="0"/>
        </c:dLbls>
        <c:gapWidth val="33"/>
        <c:overlap val="-30"/>
        <c:axId val="768907784"/>
        <c:axId val="768909832"/>
      </c:barChart>
      <c:catAx>
        <c:axId val="768907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categorie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68909832"/>
        <c:crosses val="autoZero"/>
        <c:auto val="1"/>
        <c:lblAlgn val="ctr"/>
        <c:lblOffset val="100"/>
        <c:noMultiLvlLbl val="0"/>
      </c:catAx>
      <c:valAx>
        <c:axId val="768909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Nombre de films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6890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[SAE_TABLEUR_VersionFinale.xlsm]Vision_location!Tableau croisé dynamique3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Nombre de location par jour de la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Vision_location!$C$8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Vision_location!$B$9:$B$16</c:f>
              <c:strCache>
                <c:ptCount val="7"/>
                <c:pt idx="0">
                  <c:v>Dimanche</c:v>
                </c:pt>
                <c:pt idx="1">
                  <c:v>Jeudi</c:v>
                </c:pt>
                <c:pt idx="2">
                  <c:v>Lundi</c:v>
                </c:pt>
                <c:pt idx="3">
                  <c:v>Mardi</c:v>
                </c:pt>
                <c:pt idx="4">
                  <c:v>Mercredi</c:v>
                </c:pt>
                <c:pt idx="5">
                  <c:v>Samedi</c:v>
                </c:pt>
                <c:pt idx="6">
                  <c:v>Vendredi</c:v>
                </c:pt>
              </c:strCache>
            </c:strRef>
          </c:cat>
          <c:val>
            <c:numRef>
              <c:f>Vision_location!$C$9:$C$16</c:f>
              <c:numCache>
                <c:formatCode>General</c:formatCode>
                <c:ptCount val="7"/>
                <c:pt idx="0">
                  <c:v>2320</c:v>
                </c:pt>
                <c:pt idx="1">
                  <c:v>2200</c:v>
                </c:pt>
                <c:pt idx="2">
                  <c:v>2247</c:v>
                </c:pt>
                <c:pt idx="3">
                  <c:v>2463</c:v>
                </c:pt>
                <c:pt idx="4">
                  <c:v>2231</c:v>
                </c:pt>
                <c:pt idx="5">
                  <c:v>2311</c:v>
                </c:pt>
                <c:pt idx="6">
                  <c:v>2272</c:v>
                </c:pt>
              </c:numCache>
            </c:numRef>
          </c:val>
          <c:extLst>
            <c:ext xmlns:c16="http://schemas.microsoft.com/office/drawing/2014/chart" uri="{C3380CC4-5D6E-409C-BE32-E72D297353CC}">
              <c16:uniqueId val="{00000005-6947-4CC3-AD50-4F1FD9DB055A}"/>
            </c:ext>
          </c:extLst>
        </c:ser>
        <c:dLbls>
          <c:dLblPos val="outEnd"/>
          <c:showLegendKey val="0"/>
          <c:showVal val="1"/>
          <c:showCatName val="0"/>
          <c:showSerName val="0"/>
          <c:showPercent val="0"/>
          <c:showBubbleSize val="0"/>
        </c:dLbls>
        <c:gapWidth val="33"/>
        <c:overlap val="-30"/>
        <c:axId val="975467016"/>
        <c:axId val="975470088"/>
      </c:barChart>
      <c:catAx>
        <c:axId val="9754670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jour_semaine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5470088"/>
        <c:crosses val="autoZero"/>
        <c:auto val="1"/>
        <c:lblAlgn val="ctr"/>
        <c:lblOffset val="100"/>
        <c:noMultiLvlLbl val="0"/>
      </c:catAx>
      <c:valAx>
        <c:axId val="975470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nb_locations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75467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[SAE_TABLEUR_VersionFinale.xlsm]Vision_location!Tableau croisé dynamique4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Nombre de location par période de la journée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DDEBF7"/>
          </a:solidFill>
          <a:ln w="19050">
            <a:solidFill>
              <a:srgbClr val="FFFFFF"/>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solidFill>
          <a:ln w="19050">
            <a:solidFill>
              <a:srgbClr val="FFFFFF"/>
            </a:solidFill>
            <a:prstDash val="solid"/>
          </a:ln>
          <a:effectLst/>
        </c:spPr>
      </c:pivotFmt>
      <c:pivotFmt>
        <c:idx val="2"/>
        <c:spPr>
          <a:solidFill>
            <a:srgbClr val="9BC2E6"/>
          </a:solidFill>
          <a:ln w="19050">
            <a:solidFill>
              <a:srgbClr val="FFFFFF"/>
            </a:solidFill>
            <a:prstDash val="solid"/>
          </a:ln>
          <a:effectLst/>
        </c:spPr>
      </c:pivotFmt>
      <c:pivotFmt>
        <c:idx val="3"/>
        <c:spPr>
          <a:solidFill>
            <a:srgbClr val="8EA9DB"/>
          </a:solidFill>
          <a:ln w="19050">
            <a:solidFill>
              <a:srgbClr val="FFFFFF"/>
            </a:solidFill>
            <a:prstDash val="solid"/>
          </a:ln>
          <a:effectLst/>
        </c:spPr>
      </c:pivotFmt>
      <c:pivotFmt>
        <c:idx val="4"/>
        <c:spPr>
          <a:solidFill>
            <a:srgbClr val="DDEBF7"/>
          </a:solidFill>
          <a:ln w="19050">
            <a:solidFill>
              <a:srgbClr val="FFFFFF"/>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472C4"/>
          </a:solidFill>
          <a:ln w="19050">
            <a:solidFill>
              <a:srgbClr val="FFFFFF"/>
            </a:solidFill>
            <a:prstDash val="solid"/>
          </a:ln>
          <a:effectLst/>
        </c:spPr>
      </c:pivotFmt>
      <c:pivotFmt>
        <c:idx val="6"/>
        <c:spPr>
          <a:solidFill>
            <a:srgbClr val="9BC2E6"/>
          </a:solidFill>
          <a:ln w="19050">
            <a:solidFill>
              <a:srgbClr val="FFFFFF"/>
            </a:solidFill>
            <a:prstDash val="solid"/>
          </a:ln>
          <a:effectLst/>
        </c:spPr>
      </c:pivotFmt>
      <c:pivotFmt>
        <c:idx val="7"/>
        <c:spPr>
          <a:solidFill>
            <a:srgbClr val="8EA9DB"/>
          </a:solidFill>
          <a:ln w="19050">
            <a:solidFill>
              <a:srgbClr val="FFFFFF"/>
            </a:solidFill>
            <a:prstDash val="solid"/>
          </a:ln>
          <a:effectLst/>
        </c:spPr>
      </c:pivotFmt>
      <c:pivotFmt>
        <c:idx val="8"/>
        <c:spPr>
          <a:solidFill>
            <a:srgbClr val="DDEBF7"/>
          </a:solidFill>
          <a:ln w="19050">
            <a:solidFill>
              <a:srgbClr val="FFFFFF"/>
            </a:solidFill>
            <a:prstDash val="solid"/>
          </a:ln>
          <a:effectLst/>
        </c:spPr>
      </c:pivotFmt>
    </c:pivotFmts>
    <c:plotArea>
      <c:layout/>
      <c:pieChart>
        <c:varyColors val="1"/>
        <c:ser>
          <c:idx val="0"/>
          <c:order val="0"/>
          <c:tx>
            <c:strRef>
              <c:f>Vision_location!$C$20</c:f>
              <c:strCache>
                <c:ptCount val="1"/>
                <c:pt idx="0">
                  <c:v>Total</c:v>
                </c:pt>
              </c:strCache>
            </c:strRef>
          </c:tx>
          <c:spPr>
            <a:solidFill>
              <a:srgbClr val="DDEBF7"/>
            </a:solidFill>
            <a:ln>
              <a:solidFill>
                <a:srgbClr val="FFFFFF"/>
              </a:solidFill>
              <a:prstDash val="solid"/>
            </a:ln>
          </c:spPr>
          <c:dPt>
            <c:idx val="0"/>
            <c:bubble3D val="0"/>
            <c:spPr>
              <a:solidFill>
                <a:srgbClr val="4472C4"/>
              </a:solidFill>
              <a:ln w="19050">
                <a:solidFill>
                  <a:srgbClr val="FFFFFF"/>
                </a:solidFill>
                <a:prstDash val="solid"/>
              </a:ln>
              <a:effectLst/>
            </c:spPr>
            <c:extLst>
              <c:ext xmlns:c16="http://schemas.microsoft.com/office/drawing/2014/chart" uri="{C3380CC4-5D6E-409C-BE32-E72D297353CC}">
                <c16:uniqueId val="{00000007-50D6-41F4-943F-1EEE27D5C181}"/>
              </c:ext>
            </c:extLst>
          </c:dPt>
          <c:dPt>
            <c:idx val="1"/>
            <c:bubble3D val="0"/>
            <c:spPr>
              <a:solidFill>
                <a:srgbClr val="9BC2E6"/>
              </a:solidFill>
              <a:ln w="19050">
                <a:solidFill>
                  <a:srgbClr val="FFFFFF"/>
                </a:solidFill>
                <a:prstDash val="solid"/>
              </a:ln>
              <a:effectLst/>
            </c:spPr>
            <c:extLst>
              <c:ext xmlns:c16="http://schemas.microsoft.com/office/drawing/2014/chart" uri="{C3380CC4-5D6E-409C-BE32-E72D297353CC}">
                <c16:uniqueId val="{00000008-50D6-41F4-943F-1EEE27D5C181}"/>
              </c:ext>
            </c:extLst>
          </c:dPt>
          <c:dPt>
            <c:idx val="2"/>
            <c:bubble3D val="0"/>
            <c:spPr>
              <a:solidFill>
                <a:srgbClr val="8EA9DB"/>
              </a:solidFill>
              <a:ln w="19050">
                <a:solidFill>
                  <a:srgbClr val="FFFFFF"/>
                </a:solidFill>
                <a:prstDash val="solid"/>
              </a:ln>
              <a:effectLst/>
            </c:spPr>
            <c:extLst>
              <c:ext xmlns:c16="http://schemas.microsoft.com/office/drawing/2014/chart" uri="{C3380CC4-5D6E-409C-BE32-E72D297353CC}">
                <c16:uniqueId val="{00000009-50D6-41F4-943F-1EEE27D5C181}"/>
              </c:ext>
            </c:extLst>
          </c:dPt>
          <c:dPt>
            <c:idx val="3"/>
            <c:bubble3D val="0"/>
            <c:spPr>
              <a:solidFill>
                <a:srgbClr val="DDEBF7"/>
              </a:solidFill>
              <a:ln w="19050">
                <a:solidFill>
                  <a:srgbClr val="FFFFFF"/>
                </a:solidFill>
                <a:prstDash val="solid"/>
              </a:ln>
              <a:effectLst/>
            </c:spPr>
            <c:extLst>
              <c:ext xmlns:c16="http://schemas.microsoft.com/office/drawing/2014/chart" uri="{C3380CC4-5D6E-409C-BE32-E72D297353CC}">
                <c16:uniqueId val="{00000007-C54E-48B8-BFD0-54D52B19D26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Vision_location!$B$21:$B$25</c:f>
              <c:strCache>
                <c:ptCount val="4"/>
                <c:pt idx="0">
                  <c:v>Après-midi (12h-17h)</c:v>
                </c:pt>
                <c:pt idx="1">
                  <c:v>Matin (6h-11h)</c:v>
                </c:pt>
                <c:pt idx="2">
                  <c:v>Nuit (23h-6h)</c:v>
                </c:pt>
                <c:pt idx="3">
                  <c:v>Soir (18h-23h)</c:v>
                </c:pt>
              </c:strCache>
            </c:strRef>
          </c:cat>
          <c:val>
            <c:numRef>
              <c:f>Vision_location!$C$21:$C$25</c:f>
              <c:numCache>
                <c:formatCode>General</c:formatCode>
                <c:ptCount val="4"/>
                <c:pt idx="0">
                  <c:v>4115</c:v>
                </c:pt>
                <c:pt idx="1">
                  <c:v>3998</c:v>
                </c:pt>
                <c:pt idx="2">
                  <c:v>3986</c:v>
                </c:pt>
                <c:pt idx="3">
                  <c:v>3945</c:v>
                </c:pt>
              </c:numCache>
            </c:numRef>
          </c:val>
          <c:extLst>
            <c:ext xmlns:c16="http://schemas.microsoft.com/office/drawing/2014/chart" uri="{C3380CC4-5D6E-409C-BE32-E72D297353CC}">
              <c16:uniqueId val="{00000005-50D6-41F4-943F-1EEE27D5C18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247650</xdr:colOff>
      <xdr:row>0</xdr:row>
      <xdr:rowOff>76201</xdr:rowOff>
    </xdr:from>
    <xdr:to>
      <xdr:col>7</xdr:col>
      <xdr:colOff>666750</xdr:colOff>
      <xdr:row>22</xdr:row>
      <xdr:rowOff>1</xdr:rowOff>
    </xdr:to>
    <xdr:sp macro="" textlink="">
      <xdr:nvSpPr>
        <xdr:cNvPr id="20" name="Rectangle arrondi 1">
          <a:extLst>
            <a:ext uri="{FF2B5EF4-FFF2-40B4-BE49-F238E27FC236}">
              <a16:creationId xmlns:a16="http://schemas.microsoft.com/office/drawing/2014/main" id="{21CA88F1-C526-DB86-3C1E-E296A88D6CFA}"/>
            </a:ext>
          </a:extLst>
        </xdr:cNvPr>
        <xdr:cNvSpPr/>
      </xdr:nvSpPr>
      <xdr:spPr>
        <a:xfrm>
          <a:off x="1009650" y="76201"/>
          <a:ext cx="4991100" cy="411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r>
            <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CATEGORIE_FILM</a:t>
          </a: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a:p>
          <a:r>
            <a:rPr lang="fr-FR" sz="1100" b="0" i="0">
              <a:solidFill>
                <a:schemeClr val="lt1"/>
              </a:solidFill>
              <a:effectLst/>
              <a:latin typeface="+mn-lt"/>
              <a:ea typeface="+mn-ea"/>
              <a:cs typeface="+mn-cs"/>
            </a:rPr>
            <a:t>SELECT COUNT(*) as "nb_locations"</a:t>
          </a:r>
        </a:p>
        <a:p>
          <a:r>
            <a:rPr lang="fr-FR" sz="1100" b="0" i="0">
              <a:solidFill>
                <a:schemeClr val="lt1"/>
              </a:solidFill>
              <a:effectLst/>
              <a:latin typeface="+mn-lt"/>
              <a:ea typeface="+mn-ea"/>
              <a:cs typeface="+mn-cs"/>
            </a:rPr>
            <a:t>from rental;</a:t>
          </a:r>
        </a:p>
        <a:p>
          <a:endParaRPr lang="fr-FR" sz="1100" b="0" i="0">
            <a:solidFill>
              <a:schemeClr val="lt1"/>
            </a:solidFill>
            <a:effectLst/>
            <a:latin typeface="+mn-lt"/>
            <a:ea typeface="+mn-ea"/>
            <a:cs typeface="+mn-cs"/>
          </a:endParaRPr>
        </a:p>
        <a:p>
          <a:r>
            <a:rPr lang="fr-FR" sz="1100" b="0" i="0">
              <a:solidFill>
                <a:schemeClr val="lt1"/>
              </a:solidFill>
              <a:effectLst/>
              <a:latin typeface="+mn-lt"/>
              <a:ea typeface="+mn-ea"/>
              <a:cs typeface="+mn-cs"/>
            </a:rPr>
            <a:t>SELECT C.NAME as "categorie", COUNT(F.TITLE) as "Nombre de films"</a:t>
          </a:r>
        </a:p>
        <a:p>
          <a:r>
            <a:rPr lang="fr-FR" sz="1100" b="0" i="0">
              <a:solidFill>
                <a:schemeClr val="lt1"/>
              </a:solidFill>
              <a:effectLst/>
              <a:latin typeface="+mn-lt"/>
              <a:ea typeface="+mn-ea"/>
              <a:cs typeface="+mn-cs"/>
            </a:rPr>
            <a:t>FROM Film F, Film_category FC, category C</a:t>
          </a:r>
        </a:p>
        <a:p>
          <a:r>
            <a:rPr lang="fr-FR" sz="1100" b="0" i="0">
              <a:solidFill>
                <a:schemeClr val="lt1"/>
              </a:solidFill>
              <a:effectLst/>
              <a:latin typeface="+mn-lt"/>
              <a:ea typeface="+mn-ea"/>
              <a:cs typeface="+mn-cs"/>
            </a:rPr>
            <a:t>WHERE F.Film_id = FC.Film_id</a:t>
          </a:r>
        </a:p>
        <a:p>
          <a:r>
            <a:rPr lang="fr-FR" sz="1100" b="0" i="0">
              <a:solidFill>
                <a:schemeClr val="lt1"/>
              </a:solidFill>
              <a:effectLst/>
              <a:latin typeface="+mn-lt"/>
              <a:ea typeface="+mn-ea"/>
              <a:cs typeface="+mn-cs"/>
            </a:rPr>
            <a:t>AND FC.category_id = C.category_id</a:t>
          </a:r>
        </a:p>
        <a:p>
          <a:r>
            <a:rPr lang="fr-FR" sz="1100" b="0" i="0">
              <a:solidFill>
                <a:schemeClr val="lt1"/>
              </a:solidFill>
              <a:effectLst/>
              <a:latin typeface="+mn-lt"/>
              <a:ea typeface="+mn-ea"/>
              <a:cs typeface="+mn-cs"/>
            </a:rPr>
            <a:t>GROUP BY NAME</a:t>
          </a:r>
        </a:p>
        <a:p>
          <a:r>
            <a:rPr lang="fr-FR" sz="1100" b="0" i="0">
              <a:solidFill>
                <a:schemeClr val="lt1"/>
              </a:solidFill>
              <a:effectLst/>
              <a:latin typeface="+mn-lt"/>
              <a:ea typeface="+mn-ea"/>
              <a:cs typeface="+mn-cs"/>
            </a:rPr>
            <a:t>ORDER BY 1 ;</a:t>
          </a:r>
        </a:p>
        <a:p>
          <a:endParaRPr lang="fr-FR" sz="1100" b="0" i="0">
            <a:solidFill>
              <a:schemeClr val="lt1"/>
            </a:solidFill>
            <a:effectLst/>
            <a:latin typeface="+mn-lt"/>
            <a:ea typeface="+mn-ea"/>
            <a:cs typeface="+mn-cs"/>
          </a:endParaRPr>
        </a:p>
        <a:p>
          <a:r>
            <a:rPr lang="fr-FR" sz="1100" b="0" i="0">
              <a:solidFill>
                <a:schemeClr val="lt1"/>
              </a:solidFill>
              <a:effectLst/>
              <a:latin typeface="+mn-lt"/>
              <a:ea typeface="+mn-ea"/>
              <a:cs typeface="+mn-cs"/>
            </a:rPr>
            <a:t>SELECT title AS "Titre sans location"</a:t>
          </a:r>
        </a:p>
        <a:p>
          <a:r>
            <a:rPr lang="fr-FR" sz="1100" b="0" i="0">
              <a:solidFill>
                <a:schemeClr val="lt1"/>
              </a:solidFill>
              <a:effectLst/>
              <a:latin typeface="+mn-lt"/>
              <a:ea typeface="+mn-ea"/>
              <a:cs typeface="+mn-cs"/>
            </a:rPr>
            <a:t>FROM Film F</a:t>
          </a:r>
        </a:p>
        <a:p>
          <a:r>
            <a:rPr lang="fr-FR" sz="1100" b="0" i="0">
              <a:solidFill>
                <a:schemeClr val="lt1"/>
              </a:solidFill>
              <a:effectLst/>
              <a:latin typeface="+mn-lt"/>
              <a:ea typeface="+mn-ea"/>
              <a:cs typeface="+mn-cs"/>
            </a:rPr>
            <a:t>WHERE NOT EXISTS (</a:t>
          </a:r>
        </a:p>
        <a:p>
          <a:r>
            <a:rPr lang="fr-FR" sz="1100" b="0" i="0">
              <a:solidFill>
                <a:schemeClr val="lt1"/>
              </a:solidFill>
              <a:effectLst/>
              <a:latin typeface="+mn-lt"/>
              <a:ea typeface="+mn-ea"/>
              <a:cs typeface="+mn-cs"/>
            </a:rPr>
            <a:t>SELECT 1</a:t>
          </a:r>
        </a:p>
        <a:p>
          <a:r>
            <a:rPr lang="fr-FR" sz="1100" b="0" i="0">
              <a:solidFill>
                <a:schemeClr val="lt1"/>
              </a:solidFill>
              <a:effectLst/>
              <a:latin typeface="+mn-lt"/>
              <a:ea typeface="+mn-ea"/>
              <a:cs typeface="+mn-cs"/>
            </a:rPr>
            <a:t>FROM Inventory I</a:t>
          </a:r>
        </a:p>
        <a:p>
          <a:r>
            <a:rPr lang="fr-FR" sz="1100" b="0" i="0">
              <a:solidFill>
                <a:schemeClr val="lt1"/>
              </a:solidFill>
              <a:effectLst/>
              <a:latin typeface="+mn-lt"/>
              <a:ea typeface="+mn-ea"/>
              <a:cs typeface="+mn-cs"/>
            </a:rPr>
            <a:t>JOIN Rental R ON R.inventory_id = I.inventory_id</a:t>
          </a:r>
        </a:p>
        <a:p>
          <a:r>
            <a:rPr lang="fr-FR" sz="1100" b="0" i="0">
              <a:solidFill>
                <a:schemeClr val="lt1"/>
              </a:solidFill>
              <a:effectLst/>
              <a:latin typeface="+mn-lt"/>
              <a:ea typeface="+mn-ea"/>
              <a:cs typeface="+mn-cs"/>
            </a:rPr>
            <a:t>WHERE I.film_id = F.film_id</a:t>
          </a:r>
        </a:p>
        <a:p>
          <a:r>
            <a:rPr lang="fr-FR" sz="1100" b="0" i="0">
              <a:solidFill>
                <a:schemeClr val="lt1"/>
              </a:solidFill>
              <a:effectLst/>
              <a:latin typeface="+mn-lt"/>
              <a:ea typeface="+mn-ea"/>
              <a:cs typeface="+mn-cs"/>
            </a:rPr>
            <a:t>);</a:t>
          </a:r>
        </a:p>
        <a:p>
          <a:endParaRPr lang="fr-FR" sz="1100" b="0" i="0">
            <a:solidFill>
              <a:schemeClr val="lt1"/>
            </a:solidFill>
            <a:effectLst/>
            <a:latin typeface="+mn-lt"/>
            <a:ea typeface="+mn-ea"/>
            <a:cs typeface="+mn-cs"/>
          </a:endParaRP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295275</xdr:colOff>
      <xdr:row>22</xdr:row>
      <xdr:rowOff>66676</xdr:rowOff>
    </xdr:from>
    <xdr:to>
      <xdr:col>7</xdr:col>
      <xdr:colOff>676275</xdr:colOff>
      <xdr:row>36</xdr:row>
      <xdr:rowOff>47626</xdr:rowOff>
    </xdr:to>
    <xdr:sp macro="" textlink="">
      <xdr:nvSpPr>
        <xdr:cNvPr id="18" name="Rectangle arrondi 2">
          <a:extLst>
            <a:ext uri="{FF2B5EF4-FFF2-40B4-BE49-F238E27FC236}">
              <a16:creationId xmlns:a16="http://schemas.microsoft.com/office/drawing/2014/main" id="{D1EC7832-08EB-47FD-B911-A22081EEA1DA}"/>
            </a:ext>
            <a:ext uri="{147F2762-F138-4A5C-976F-8EAC2B608ADB}">
              <a16:predDERef xmlns:a16="http://schemas.microsoft.com/office/drawing/2014/main" pred="{21CA88F1-C526-DB86-3C1E-E296A88D6CFA}"/>
            </a:ext>
          </a:extLst>
        </xdr:cNvPr>
        <xdr:cNvSpPr/>
      </xdr:nvSpPr>
      <xdr:spPr>
        <a:xfrm>
          <a:off x="1057275" y="4257676"/>
          <a:ext cx="4953000" cy="2647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VISION_CLIENT</a:t>
          </a: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a:p>
          <a:r>
            <a:rPr lang="fr-FR" sz="1100" b="0" i="0">
              <a:solidFill>
                <a:schemeClr val="lt1"/>
              </a:solidFill>
              <a:effectLst/>
              <a:latin typeface="+mn-lt"/>
              <a:ea typeface="+mn-ea"/>
              <a:cs typeface="+mn-cs"/>
            </a:rPr>
            <a:t>SELECT c.customer_id, c.first_name, c.last_name, COUNT(r.rental_id) AS nombre_locations,</a:t>
          </a:r>
        </a:p>
        <a:p>
          <a:r>
            <a:rPr lang="fr-FR" sz="1100" b="0" i="0">
              <a:solidFill>
                <a:schemeClr val="lt1"/>
              </a:solidFill>
              <a:effectLst/>
              <a:latin typeface="+mn-lt"/>
              <a:ea typeface="+mn-ea"/>
              <a:cs typeface="+mn-cs"/>
            </a:rPr>
            <a:t>SUM(p.amount) AS montant_total_depense, MIN(r.rental_date) AS date_premiere_location</a:t>
          </a:r>
        </a:p>
        <a:p>
          <a:r>
            <a:rPr lang="fr-FR" sz="1100" b="0" i="0">
              <a:solidFill>
                <a:schemeClr val="lt1"/>
              </a:solidFill>
              <a:effectLst/>
              <a:latin typeface="+mn-lt"/>
              <a:ea typeface="+mn-ea"/>
              <a:cs typeface="+mn-cs"/>
            </a:rPr>
            <a:t>FROM customer c INNER JOIN rental r</a:t>
          </a:r>
        </a:p>
        <a:p>
          <a:r>
            <a:rPr lang="fr-FR" sz="1100" b="0" i="0">
              <a:solidFill>
                <a:schemeClr val="lt1"/>
              </a:solidFill>
              <a:effectLst/>
              <a:latin typeface="+mn-lt"/>
              <a:ea typeface="+mn-ea"/>
              <a:cs typeface="+mn-cs"/>
            </a:rPr>
            <a:t>ON c.customer_id = r.customer_id</a:t>
          </a:r>
        </a:p>
        <a:p>
          <a:r>
            <a:rPr lang="fr-FR" sz="1100" b="0" i="0">
              <a:solidFill>
                <a:schemeClr val="lt1"/>
              </a:solidFill>
              <a:effectLst/>
              <a:latin typeface="+mn-lt"/>
              <a:ea typeface="+mn-ea"/>
              <a:cs typeface="+mn-cs"/>
            </a:rPr>
            <a:t>INNER JOIN payment p</a:t>
          </a:r>
        </a:p>
        <a:p>
          <a:r>
            <a:rPr lang="fr-FR" sz="1100" b="0" i="0">
              <a:solidFill>
                <a:schemeClr val="lt1"/>
              </a:solidFill>
              <a:effectLst/>
              <a:latin typeface="+mn-lt"/>
              <a:ea typeface="+mn-ea"/>
              <a:cs typeface="+mn-cs"/>
            </a:rPr>
            <a:t>ON r.rental_id = p.rental_id</a:t>
          </a:r>
        </a:p>
        <a:p>
          <a:r>
            <a:rPr lang="fr-FR" sz="1100" b="0" i="0">
              <a:solidFill>
                <a:schemeClr val="lt1"/>
              </a:solidFill>
              <a:effectLst/>
              <a:latin typeface="+mn-lt"/>
              <a:ea typeface="+mn-ea"/>
              <a:cs typeface="+mn-cs"/>
            </a:rPr>
            <a:t>GROUP BY c.customer_id, c.first_name, c.last_name</a:t>
          </a:r>
        </a:p>
        <a:p>
          <a:r>
            <a:rPr lang="fr-FR" sz="1100" b="0" i="0">
              <a:solidFill>
                <a:schemeClr val="lt1"/>
              </a:solidFill>
              <a:effectLst/>
              <a:latin typeface="+mn-lt"/>
              <a:ea typeface="+mn-ea"/>
              <a:cs typeface="+mn-cs"/>
            </a:rPr>
            <a:t>ORDER BY nombre_locations DESC;</a:t>
          </a:r>
        </a:p>
        <a:p>
          <a:endParaRPr lang="fr-FR" sz="1100" b="0" i="0">
            <a:solidFill>
              <a:schemeClr val="lt1"/>
            </a:solidFill>
            <a:effectLst/>
            <a:latin typeface="+mn-lt"/>
            <a:ea typeface="+mn-ea"/>
            <a:cs typeface="+mn-cs"/>
          </a:endParaRPr>
        </a:p>
        <a:p>
          <a:endParaRPr lang="fr-FR" sz="1100" b="0" i="0">
            <a:solidFill>
              <a:schemeClr val="lt1"/>
            </a:solidFill>
            <a:effectLst/>
            <a:latin typeface="+mn-lt"/>
            <a:ea typeface="+mn-ea"/>
            <a:cs typeface="+mn-cs"/>
          </a:endParaRP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76199</xdr:colOff>
      <xdr:row>0</xdr:row>
      <xdr:rowOff>76200</xdr:rowOff>
    </xdr:from>
    <xdr:to>
      <xdr:col>18</xdr:col>
      <xdr:colOff>295274</xdr:colOff>
      <xdr:row>36</xdr:row>
      <xdr:rowOff>19050</xdr:rowOff>
    </xdr:to>
    <xdr:sp macro="" textlink="">
      <xdr:nvSpPr>
        <xdr:cNvPr id="19" name="Rectangle arrondi 3">
          <a:extLst>
            <a:ext uri="{FF2B5EF4-FFF2-40B4-BE49-F238E27FC236}">
              <a16:creationId xmlns:a16="http://schemas.microsoft.com/office/drawing/2014/main" id="{A705B823-FCFD-4945-B360-211330C295AF}"/>
            </a:ext>
            <a:ext uri="{147F2762-F138-4A5C-976F-8EAC2B608ADB}">
              <a16:predDERef xmlns:a16="http://schemas.microsoft.com/office/drawing/2014/main" pred="{D1EC7832-08EB-47FD-B911-A22081EEA1DA}"/>
            </a:ext>
          </a:extLst>
        </xdr:cNvPr>
        <xdr:cNvSpPr/>
      </xdr:nvSpPr>
      <xdr:spPr>
        <a:xfrm>
          <a:off x="6172199" y="76200"/>
          <a:ext cx="7839075" cy="6800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VISION_LOCATION</a:t>
          </a:r>
        </a:p>
        <a:p>
          <a:r>
            <a:rPr lang="fr-FR" sz="1100" b="0" i="0">
              <a:solidFill>
                <a:schemeClr val="lt1"/>
              </a:solidFill>
              <a:effectLst/>
              <a:latin typeface="+mn-lt"/>
              <a:ea typeface="+mn-ea"/>
              <a:cs typeface="+mn-cs"/>
            </a:rPr>
            <a:t>SELECT</a:t>
          </a:r>
        </a:p>
        <a:p>
          <a:r>
            <a:rPr lang="fr-FR" sz="1100" b="0" i="0">
              <a:solidFill>
                <a:schemeClr val="lt1"/>
              </a:solidFill>
              <a:effectLst/>
              <a:latin typeface="+mn-lt"/>
              <a:ea typeface="+mn-ea"/>
              <a:cs typeface="+mn-cs"/>
            </a:rPr>
            <a:t>CASE strftime('%w', rental_date)</a:t>
          </a:r>
        </a:p>
        <a:p>
          <a:r>
            <a:rPr lang="fr-FR" sz="1100" b="0" i="0">
              <a:solidFill>
                <a:schemeClr val="lt1"/>
              </a:solidFill>
              <a:effectLst/>
              <a:latin typeface="+mn-lt"/>
              <a:ea typeface="+mn-ea"/>
              <a:cs typeface="+mn-cs"/>
            </a:rPr>
            <a:t>WHEN '0' THEN 'Dimanche'</a:t>
          </a:r>
        </a:p>
        <a:p>
          <a:r>
            <a:rPr lang="fr-FR" sz="1100" b="0" i="0">
              <a:solidFill>
                <a:schemeClr val="lt1"/>
              </a:solidFill>
              <a:effectLst/>
              <a:latin typeface="+mn-lt"/>
              <a:ea typeface="+mn-ea"/>
              <a:cs typeface="+mn-cs"/>
            </a:rPr>
            <a:t>WHEN '1' THEN 'Lundi'</a:t>
          </a:r>
        </a:p>
        <a:p>
          <a:r>
            <a:rPr lang="fr-FR" sz="1100" b="0" i="0">
              <a:solidFill>
                <a:schemeClr val="lt1"/>
              </a:solidFill>
              <a:effectLst/>
              <a:latin typeface="+mn-lt"/>
              <a:ea typeface="+mn-ea"/>
              <a:cs typeface="+mn-cs"/>
            </a:rPr>
            <a:t>WHEN '2' THEN 'Mardi'</a:t>
          </a:r>
        </a:p>
        <a:p>
          <a:r>
            <a:rPr lang="fr-FR" sz="1100" b="0" i="0">
              <a:solidFill>
                <a:schemeClr val="lt1"/>
              </a:solidFill>
              <a:effectLst/>
              <a:latin typeface="+mn-lt"/>
              <a:ea typeface="+mn-ea"/>
              <a:cs typeface="+mn-cs"/>
            </a:rPr>
            <a:t>WHEN '3' THEN 'Mercredi'</a:t>
          </a:r>
        </a:p>
        <a:p>
          <a:r>
            <a:rPr lang="fr-FR" sz="1100" b="0" i="0">
              <a:solidFill>
                <a:schemeClr val="lt1"/>
              </a:solidFill>
              <a:effectLst/>
              <a:latin typeface="+mn-lt"/>
              <a:ea typeface="+mn-ea"/>
              <a:cs typeface="+mn-cs"/>
            </a:rPr>
            <a:t>WHEN '4' THEN 'Jeudi'</a:t>
          </a:r>
        </a:p>
        <a:p>
          <a:r>
            <a:rPr lang="fr-FR" sz="1100" b="0" i="0">
              <a:solidFill>
                <a:schemeClr val="lt1"/>
              </a:solidFill>
              <a:effectLst/>
              <a:latin typeface="+mn-lt"/>
              <a:ea typeface="+mn-ea"/>
              <a:cs typeface="+mn-cs"/>
            </a:rPr>
            <a:t>WHEN '5' THEN 'Vendredi'</a:t>
          </a:r>
        </a:p>
        <a:p>
          <a:r>
            <a:rPr lang="fr-FR" sz="1100" b="0" i="0">
              <a:solidFill>
                <a:schemeClr val="lt1"/>
              </a:solidFill>
              <a:effectLst/>
              <a:latin typeface="+mn-lt"/>
              <a:ea typeface="+mn-ea"/>
              <a:cs typeface="+mn-cs"/>
            </a:rPr>
            <a:t>WHEN '6' THEN 'Samedi'</a:t>
          </a:r>
        </a:p>
        <a:p>
          <a:r>
            <a:rPr lang="fr-FR" sz="1100" b="0" i="0">
              <a:solidFill>
                <a:schemeClr val="lt1"/>
              </a:solidFill>
              <a:effectLst/>
              <a:latin typeface="+mn-lt"/>
              <a:ea typeface="+mn-ea"/>
              <a:cs typeface="+mn-cs"/>
            </a:rPr>
            <a:t>END AS jour_semaine,</a:t>
          </a:r>
        </a:p>
        <a:p>
          <a:r>
            <a:rPr lang="fr-FR" sz="1100" b="0" i="0">
              <a:solidFill>
                <a:schemeClr val="lt1"/>
              </a:solidFill>
              <a:effectLst/>
              <a:latin typeface="+mn-lt"/>
              <a:ea typeface="+mn-ea"/>
              <a:cs typeface="+mn-cs"/>
            </a:rPr>
            <a:t>COUNT(*) AS nb_locations</a:t>
          </a:r>
        </a:p>
        <a:p>
          <a:r>
            <a:rPr lang="fr-FR" sz="1100" b="0" i="0">
              <a:solidFill>
                <a:schemeClr val="lt1"/>
              </a:solidFill>
              <a:effectLst/>
              <a:latin typeface="+mn-lt"/>
              <a:ea typeface="+mn-ea"/>
              <a:cs typeface="+mn-cs"/>
            </a:rPr>
            <a:t>FROM Rental</a:t>
          </a:r>
        </a:p>
        <a:p>
          <a:r>
            <a:rPr lang="fr-FR" sz="1100" b="0" i="0">
              <a:solidFill>
                <a:schemeClr val="lt1"/>
              </a:solidFill>
              <a:effectLst/>
              <a:latin typeface="+mn-lt"/>
              <a:ea typeface="+mn-ea"/>
              <a:cs typeface="+mn-cs"/>
            </a:rPr>
            <a:t>GROUP BY strftime('%w', rental_date)</a:t>
          </a:r>
        </a:p>
        <a:p>
          <a:r>
            <a:rPr lang="fr-FR" sz="1100" b="0" i="0">
              <a:solidFill>
                <a:schemeClr val="lt1"/>
              </a:solidFill>
              <a:effectLst/>
              <a:latin typeface="+mn-lt"/>
              <a:ea typeface="+mn-ea"/>
              <a:cs typeface="+mn-cs"/>
            </a:rPr>
            <a:t>ORDER BY nb_locations DESC;</a:t>
          </a:r>
        </a:p>
        <a:p>
          <a:endParaRPr lang="fr-FR" sz="1100" b="0" i="0">
            <a:solidFill>
              <a:schemeClr val="lt1"/>
            </a:solidFill>
            <a:effectLst/>
            <a:latin typeface="+mn-lt"/>
            <a:ea typeface="+mn-ea"/>
            <a:cs typeface="+mn-cs"/>
          </a:endParaRPr>
        </a:p>
        <a:p>
          <a:r>
            <a:rPr lang="fr-FR" sz="1100" b="0" i="0">
              <a:solidFill>
                <a:schemeClr val="lt1"/>
              </a:solidFill>
              <a:effectLst/>
              <a:latin typeface="+mn-lt"/>
              <a:ea typeface="+mn-ea"/>
              <a:cs typeface="+mn-cs"/>
            </a:rPr>
            <a:t>SELECT</a:t>
          </a:r>
        </a:p>
        <a:p>
          <a:r>
            <a:rPr lang="fr-FR" sz="1100" b="0" i="0">
              <a:solidFill>
                <a:schemeClr val="lt1"/>
              </a:solidFill>
              <a:effectLst/>
              <a:latin typeface="+mn-lt"/>
              <a:ea typeface="+mn-ea"/>
              <a:cs typeface="+mn-cs"/>
            </a:rPr>
            <a:t>CASE</a:t>
          </a:r>
        </a:p>
        <a:p>
          <a:r>
            <a:rPr lang="fr-FR" sz="1100" b="0" i="0">
              <a:solidFill>
                <a:schemeClr val="lt1"/>
              </a:solidFill>
              <a:effectLst/>
              <a:latin typeface="+mn-lt"/>
              <a:ea typeface="+mn-ea"/>
              <a:cs typeface="+mn-cs"/>
            </a:rPr>
            <a:t>WHEN strftime('%H', rental_date) BETWEEN '06' AND '11'</a:t>
          </a:r>
        </a:p>
        <a:p>
          <a:r>
            <a:rPr lang="fr-FR" sz="1100" b="0" i="0">
              <a:solidFill>
                <a:schemeClr val="lt1"/>
              </a:solidFill>
              <a:effectLst/>
              <a:latin typeface="+mn-lt"/>
              <a:ea typeface="+mn-ea"/>
              <a:cs typeface="+mn-cs"/>
            </a:rPr>
            <a:t>THEN 'Matin (6h-11h)'</a:t>
          </a:r>
        </a:p>
        <a:p>
          <a:r>
            <a:rPr lang="fr-FR" sz="1100" b="0" i="0">
              <a:solidFill>
                <a:schemeClr val="lt1"/>
              </a:solidFill>
              <a:effectLst/>
              <a:latin typeface="+mn-lt"/>
              <a:ea typeface="+mn-ea"/>
              <a:cs typeface="+mn-cs"/>
            </a:rPr>
            <a:t>WHEN strftime('%H', rental_date) BETWEEN '12' AND '17'</a:t>
          </a:r>
        </a:p>
        <a:p>
          <a:r>
            <a:rPr lang="fr-FR" sz="1100" b="0" i="0">
              <a:solidFill>
                <a:schemeClr val="lt1"/>
              </a:solidFill>
              <a:effectLst/>
              <a:latin typeface="+mn-lt"/>
              <a:ea typeface="+mn-ea"/>
              <a:cs typeface="+mn-cs"/>
            </a:rPr>
            <a:t>THEN 'Après-midi (12h-17h)'</a:t>
          </a:r>
        </a:p>
        <a:p>
          <a:r>
            <a:rPr lang="fr-FR" sz="1100" b="0" i="0">
              <a:solidFill>
                <a:schemeClr val="lt1"/>
              </a:solidFill>
              <a:effectLst/>
              <a:latin typeface="+mn-lt"/>
              <a:ea typeface="+mn-ea"/>
              <a:cs typeface="+mn-cs"/>
            </a:rPr>
            <a:t>WHEN strftime('%H', rental_date) BETWEEN '18' AND '23'</a:t>
          </a:r>
        </a:p>
        <a:p>
          <a:r>
            <a:rPr lang="fr-FR" sz="1100" b="0" i="0">
              <a:solidFill>
                <a:schemeClr val="lt1"/>
              </a:solidFill>
              <a:effectLst/>
              <a:latin typeface="+mn-lt"/>
              <a:ea typeface="+mn-ea"/>
              <a:cs typeface="+mn-cs"/>
            </a:rPr>
            <a:t>THEN 'Soir (18h-23h)'</a:t>
          </a:r>
        </a:p>
        <a:p>
          <a:r>
            <a:rPr lang="fr-FR" sz="1100" b="0" i="0">
              <a:solidFill>
                <a:schemeClr val="lt1"/>
              </a:solidFill>
              <a:effectLst/>
              <a:latin typeface="+mn-lt"/>
              <a:ea typeface="+mn-ea"/>
              <a:cs typeface="+mn-cs"/>
            </a:rPr>
            <a:t>ELSE 'Nuit (23h-6h)'</a:t>
          </a:r>
        </a:p>
        <a:p>
          <a:r>
            <a:rPr lang="fr-FR" sz="1100" b="0" i="0">
              <a:solidFill>
                <a:schemeClr val="lt1"/>
              </a:solidFill>
              <a:effectLst/>
              <a:latin typeface="+mn-lt"/>
              <a:ea typeface="+mn-ea"/>
              <a:cs typeface="+mn-cs"/>
            </a:rPr>
            <a:t>END AS periode_journee,</a:t>
          </a:r>
        </a:p>
        <a:p>
          <a:r>
            <a:rPr lang="fr-FR" sz="1100" b="0" i="0">
              <a:solidFill>
                <a:schemeClr val="lt1"/>
              </a:solidFill>
              <a:effectLst/>
              <a:latin typeface="+mn-lt"/>
              <a:ea typeface="+mn-ea"/>
              <a:cs typeface="+mn-cs"/>
            </a:rPr>
            <a:t>COUNT(*) AS nb_locations</a:t>
          </a:r>
        </a:p>
        <a:p>
          <a:r>
            <a:rPr lang="fr-FR" sz="1100" b="0" i="0">
              <a:solidFill>
                <a:schemeClr val="lt1"/>
              </a:solidFill>
              <a:effectLst/>
              <a:latin typeface="+mn-lt"/>
              <a:ea typeface="+mn-ea"/>
              <a:cs typeface="+mn-cs"/>
            </a:rPr>
            <a:t>FROM Rental</a:t>
          </a:r>
        </a:p>
        <a:p>
          <a:r>
            <a:rPr lang="fr-FR" sz="1100" b="0" i="0">
              <a:solidFill>
                <a:schemeClr val="lt1"/>
              </a:solidFill>
              <a:effectLst/>
              <a:latin typeface="+mn-lt"/>
              <a:ea typeface="+mn-ea"/>
              <a:cs typeface="+mn-cs"/>
            </a:rPr>
            <a:t>GROUP BY periode_journee</a:t>
          </a:r>
        </a:p>
        <a:p>
          <a:r>
            <a:rPr lang="fr-FR" sz="1100" b="0" i="0">
              <a:solidFill>
                <a:schemeClr val="lt1"/>
              </a:solidFill>
              <a:effectLst/>
              <a:latin typeface="+mn-lt"/>
              <a:ea typeface="+mn-ea"/>
              <a:cs typeface="+mn-cs"/>
            </a:rPr>
            <a:t>ORDER BY nb_locations DESC;</a:t>
          </a:r>
        </a:p>
        <a:p>
          <a:endParaRPr lang="fr-FR" sz="1100" b="0" i="0">
            <a:solidFill>
              <a:schemeClr val="lt1"/>
            </a:solidFill>
            <a:effectLst/>
            <a:latin typeface="+mn-lt"/>
            <a:ea typeface="+mn-ea"/>
            <a:cs typeface="+mn-cs"/>
          </a:endParaRPr>
        </a:p>
        <a:p>
          <a:r>
            <a:rPr lang="fr-FR" sz="1100">
              <a:solidFill>
                <a:schemeClr val="lt1"/>
              </a:solidFill>
              <a:effectLst/>
              <a:latin typeface="+mn-lt"/>
              <a:ea typeface="+mn-ea"/>
              <a:cs typeface="+mn-cs"/>
            </a:rPr>
            <a:t> </a:t>
          </a:r>
        </a:p>
        <a:p>
          <a:endParaRPr lang="fr-FR" sz="1100" b="0" i="0">
            <a:solidFill>
              <a:schemeClr val="lt1"/>
            </a:solidFill>
            <a:effectLst/>
            <a:latin typeface="+mn-lt"/>
            <a:ea typeface="+mn-ea"/>
            <a:cs typeface="+mn-cs"/>
          </a:endParaRPr>
        </a:p>
        <a:p>
          <a:endParaRPr lang="fr-FR" sz="1100" b="0" i="0">
            <a:solidFill>
              <a:schemeClr val="lt1"/>
            </a:solidFill>
            <a:effectLst/>
            <a:latin typeface="+mn-lt"/>
            <a:ea typeface="+mn-ea"/>
            <a:cs typeface="+mn-cs"/>
          </a:endParaRPr>
        </a:p>
        <a:p>
          <a:pPr marL="0" indent="0" algn="ctr"/>
          <a:endPar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95250</xdr:colOff>
      <xdr:row>5</xdr:row>
      <xdr:rowOff>76200</xdr:rowOff>
    </xdr:from>
    <xdr:to>
      <xdr:col>18</xdr:col>
      <xdr:colOff>76200</xdr:colOff>
      <xdr:row>28</xdr:row>
      <xdr:rowOff>152400</xdr:rowOff>
    </xdr:to>
    <xdr:sp macro="" textlink="">
      <xdr:nvSpPr>
        <xdr:cNvPr id="2" name="ZoneTexte 1">
          <a:extLst>
            <a:ext uri="{FF2B5EF4-FFF2-40B4-BE49-F238E27FC236}">
              <a16:creationId xmlns:a16="http://schemas.microsoft.com/office/drawing/2014/main" id="{FDB11C8E-6C58-4FF9-ADF5-1434D2620241}"/>
            </a:ext>
          </a:extLst>
        </xdr:cNvPr>
        <xdr:cNvSpPr txBox="1"/>
      </xdr:nvSpPr>
      <xdr:spPr>
        <a:xfrm>
          <a:off x="10001250" y="1028700"/>
          <a:ext cx="3790950" cy="445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bg1"/>
              </a:solidFill>
              <a:effectLst/>
              <a:latin typeface="+mn-lt"/>
              <a:ea typeface="+mn-ea"/>
              <a:cs typeface="+mn-cs"/>
            </a:rPr>
            <a:t>SELECT</a:t>
          </a:r>
          <a:endParaRPr lang="fr-FR">
            <a:solidFill>
              <a:schemeClr val="bg1"/>
            </a:solidFill>
            <a:effectLst/>
          </a:endParaRPr>
        </a:p>
        <a:p>
          <a:r>
            <a:rPr lang="fr-FR" sz="1100">
              <a:solidFill>
                <a:schemeClr val="bg1"/>
              </a:solidFill>
              <a:effectLst/>
              <a:latin typeface="+mn-lt"/>
              <a:ea typeface="+mn-ea"/>
              <a:cs typeface="+mn-cs"/>
            </a:rPr>
            <a:t> CASE strftime('%w', rental_date)</a:t>
          </a:r>
          <a:endParaRPr lang="fr-FR">
            <a:solidFill>
              <a:schemeClr val="bg1"/>
            </a:solidFill>
            <a:effectLst/>
          </a:endParaRPr>
        </a:p>
        <a:p>
          <a:r>
            <a:rPr lang="fr-FR" sz="1100">
              <a:solidFill>
                <a:schemeClr val="bg1"/>
              </a:solidFill>
              <a:effectLst/>
              <a:latin typeface="+mn-lt"/>
              <a:ea typeface="+mn-ea"/>
              <a:cs typeface="+mn-cs"/>
            </a:rPr>
            <a:t> WHEN '0' THEN 'Dimanche'</a:t>
          </a:r>
          <a:endParaRPr lang="fr-FR">
            <a:solidFill>
              <a:schemeClr val="bg1"/>
            </a:solidFill>
            <a:effectLst/>
          </a:endParaRPr>
        </a:p>
        <a:p>
          <a:r>
            <a:rPr lang="fr-FR" sz="1100">
              <a:solidFill>
                <a:schemeClr val="bg1"/>
              </a:solidFill>
              <a:effectLst/>
              <a:latin typeface="+mn-lt"/>
              <a:ea typeface="+mn-ea"/>
              <a:cs typeface="+mn-cs"/>
            </a:rPr>
            <a:t> WHEN '1' THEN 'Lundi'</a:t>
          </a:r>
          <a:endParaRPr lang="fr-FR">
            <a:solidFill>
              <a:schemeClr val="bg1"/>
            </a:solidFill>
            <a:effectLst/>
          </a:endParaRPr>
        </a:p>
        <a:p>
          <a:r>
            <a:rPr lang="fr-FR" sz="1100">
              <a:solidFill>
                <a:schemeClr val="bg1"/>
              </a:solidFill>
              <a:effectLst/>
              <a:latin typeface="+mn-lt"/>
              <a:ea typeface="+mn-ea"/>
              <a:cs typeface="+mn-cs"/>
            </a:rPr>
            <a:t> WHEN '2' THEN 'Mardi'</a:t>
          </a:r>
          <a:endParaRPr lang="fr-FR">
            <a:solidFill>
              <a:schemeClr val="bg1"/>
            </a:solidFill>
            <a:effectLst/>
          </a:endParaRPr>
        </a:p>
        <a:p>
          <a:r>
            <a:rPr lang="fr-FR" sz="1100">
              <a:solidFill>
                <a:schemeClr val="bg1"/>
              </a:solidFill>
              <a:effectLst/>
              <a:latin typeface="+mn-lt"/>
              <a:ea typeface="+mn-ea"/>
              <a:cs typeface="+mn-cs"/>
            </a:rPr>
            <a:t> WHEN '3' THEN 'Mercredi'</a:t>
          </a:r>
          <a:endParaRPr lang="fr-FR">
            <a:solidFill>
              <a:schemeClr val="bg1"/>
            </a:solidFill>
            <a:effectLst/>
          </a:endParaRPr>
        </a:p>
        <a:p>
          <a:r>
            <a:rPr lang="fr-FR" sz="1100">
              <a:solidFill>
                <a:schemeClr val="bg1"/>
              </a:solidFill>
              <a:effectLst/>
              <a:latin typeface="+mn-lt"/>
              <a:ea typeface="+mn-ea"/>
              <a:cs typeface="+mn-cs"/>
            </a:rPr>
            <a:t> WHEN '4' THEN 'Jeudi'</a:t>
          </a:r>
          <a:endParaRPr lang="fr-FR">
            <a:solidFill>
              <a:schemeClr val="bg1"/>
            </a:solidFill>
            <a:effectLst/>
          </a:endParaRPr>
        </a:p>
        <a:p>
          <a:r>
            <a:rPr lang="fr-FR" sz="1100">
              <a:solidFill>
                <a:schemeClr val="bg1"/>
              </a:solidFill>
              <a:effectLst/>
              <a:latin typeface="+mn-lt"/>
              <a:ea typeface="+mn-ea"/>
              <a:cs typeface="+mn-cs"/>
            </a:rPr>
            <a:t> WHEN '5' THEN 'Vendredi'</a:t>
          </a:r>
          <a:endParaRPr lang="fr-FR">
            <a:solidFill>
              <a:schemeClr val="bg1"/>
            </a:solidFill>
            <a:effectLst/>
          </a:endParaRPr>
        </a:p>
        <a:p>
          <a:r>
            <a:rPr lang="fr-FR" sz="1100">
              <a:solidFill>
                <a:schemeClr val="bg1"/>
              </a:solidFill>
              <a:effectLst/>
              <a:latin typeface="+mn-lt"/>
              <a:ea typeface="+mn-ea"/>
              <a:cs typeface="+mn-cs"/>
            </a:rPr>
            <a:t> WHEN '6' THEN 'Samedi'</a:t>
          </a:r>
          <a:endParaRPr lang="fr-FR">
            <a:solidFill>
              <a:schemeClr val="bg1"/>
            </a:solidFill>
            <a:effectLst/>
          </a:endParaRPr>
        </a:p>
        <a:p>
          <a:r>
            <a:rPr lang="fr-FR" sz="1100">
              <a:solidFill>
                <a:schemeClr val="bg1"/>
              </a:solidFill>
              <a:effectLst/>
              <a:latin typeface="+mn-lt"/>
              <a:ea typeface="+mn-ea"/>
              <a:cs typeface="+mn-cs"/>
            </a:rPr>
            <a:t> END AS jour_semaine, </a:t>
          </a:r>
          <a:endParaRPr lang="fr-FR">
            <a:solidFill>
              <a:schemeClr val="bg1"/>
            </a:solidFill>
            <a:effectLst/>
          </a:endParaRPr>
        </a:p>
        <a:p>
          <a:r>
            <a:rPr lang="fr-FR" sz="1100">
              <a:solidFill>
                <a:schemeClr val="bg1"/>
              </a:solidFill>
              <a:effectLst/>
              <a:latin typeface="+mn-lt"/>
              <a:ea typeface="+mn-ea"/>
              <a:cs typeface="+mn-cs"/>
            </a:rPr>
            <a:t> CASE</a:t>
          </a:r>
          <a:endParaRPr lang="fr-FR">
            <a:solidFill>
              <a:schemeClr val="bg1"/>
            </a:solidFill>
            <a:effectLst/>
          </a:endParaRPr>
        </a:p>
        <a:p>
          <a:r>
            <a:rPr lang="fr-FR" sz="1100">
              <a:solidFill>
                <a:schemeClr val="bg1"/>
              </a:solidFill>
              <a:effectLst/>
              <a:latin typeface="+mn-lt"/>
              <a:ea typeface="+mn-ea"/>
              <a:cs typeface="+mn-cs"/>
            </a:rPr>
            <a:t>WHEN strftime('%H', rental_date) BETWEEN '06' AND '11'</a:t>
          </a:r>
          <a:endParaRPr lang="fr-FR">
            <a:solidFill>
              <a:schemeClr val="bg1"/>
            </a:solidFill>
            <a:effectLst/>
          </a:endParaRPr>
        </a:p>
        <a:p>
          <a:r>
            <a:rPr lang="fr-FR" sz="1100">
              <a:solidFill>
                <a:schemeClr val="bg1"/>
              </a:solidFill>
              <a:effectLst/>
              <a:latin typeface="+mn-lt"/>
              <a:ea typeface="+mn-ea"/>
              <a:cs typeface="+mn-cs"/>
            </a:rPr>
            <a:t> THEN 'Matin'</a:t>
          </a:r>
          <a:endParaRPr lang="fr-FR">
            <a:solidFill>
              <a:schemeClr val="bg1"/>
            </a:solidFill>
            <a:effectLst/>
          </a:endParaRPr>
        </a:p>
        <a:p>
          <a:r>
            <a:rPr lang="fr-FR" sz="1100">
              <a:solidFill>
                <a:schemeClr val="bg1"/>
              </a:solidFill>
              <a:effectLst/>
              <a:latin typeface="+mn-lt"/>
              <a:ea typeface="+mn-ea"/>
              <a:cs typeface="+mn-cs"/>
            </a:rPr>
            <a:t> WHEN strftime('%H', rental_date) BETWEEN '12' AND '17'</a:t>
          </a:r>
          <a:endParaRPr lang="fr-FR">
            <a:solidFill>
              <a:schemeClr val="bg1"/>
            </a:solidFill>
            <a:effectLst/>
          </a:endParaRPr>
        </a:p>
        <a:p>
          <a:r>
            <a:rPr lang="fr-FR" sz="1100">
              <a:solidFill>
                <a:schemeClr val="bg1"/>
              </a:solidFill>
              <a:effectLst/>
              <a:latin typeface="+mn-lt"/>
              <a:ea typeface="+mn-ea"/>
              <a:cs typeface="+mn-cs"/>
            </a:rPr>
            <a:t> THEN 'Après-midi'</a:t>
          </a:r>
          <a:endParaRPr lang="fr-FR">
            <a:solidFill>
              <a:schemeClr val="bg1"/>
            </a:solidFill>
            <a:effectLst/>
          </a:endParaRPr>
        </a:p>
        <a:p>
          <a:r>
            <a:rPr lang="fr-FR" sz="1100">
              <a:solidFill>
                <a:schemeClr val="bg1"/>
              </a:solidFill>
              <a:effectLst/>
              <a:latin typeface="+mn-lt"/>
              <a:ea typeface="+mn-ea"/>
              <a:cs typeface="+mn-cs"/>
            </a:rPr>
            <a:t> WHEN strftime('%H', rental_date) BETWEEN '18' AND '23'</a:t>
          </a:r>
          <a:endParaRPr lang="fr-FR">
            <a:solidFill>
              <a:schemeClr val="bg1"/>
            </a:solidFill>
            <a:effectLst/>
          </a:endParaRPr>
        </a:p>
        <a:p>
          <a:r>
            <a:rPr lang="fr-FR" sz="1100">
              <a:solidFill>
                <a:schemeClr val="bg1"/>
              </a:solidFill>
              <a:effectLst/>
              <a:latin typeface="+mn-lt"/>
              <a:ea typeface="+mn-ea"/>
              <a:cs typeface="+mn-cs"/>
            </a:rPr>
            <a:t> THEN 'Soir'</a:t>
          </a:r>
          <a:endParaRPr lang="fr-FR">
            <a:solidFill>
              <a:schemeClr val="bg1"/>
            </a:solidFill>
            <a:effectLst/>
          </a:endParaRPr>
        </a:p>
        <a:p>
          <a:r>
            <a:rPr lang="fr-FR" sz="1100">
              <a:solidFill>
                <a:schemeClr val="bg1"/>
              </a:solidFill>
              <a:effectLst/>
              <a:latin typeface="+mn-lt"/>
              <a:ea typeface="+mn-ea"/>
              <a:cs typeface="+mn-cs"/>
            </a:rPr>
            <a:t> ELSE 'Nuit'</a:t>
          </a:r>
          <a:endParaRPr lang="fr-FR">
            <a:solidFill>
              <a:schemeClr val="bg1"/>
            </a:solidFill>
            <a:effectLst/>
          </a:endParaRPr>
        </a:p>
        <a:p>
          <a:r>
            <a:rPr lang="fr-FR" sz="1100">
              <a:solidFill>
                <a:schemeClr val="bg1"/>
              </a:solidFill>
              <a:effectLst/>
              <a:latin typeface="+mn-lt"/>
              <a:ea typeface="+mn-ea"/>
              <a:cs typeface="+mn-cs"/>
            </a:rPr>
            <a:t> END AS periode_journee, COUNT(*) AS nb_locations </a:t>
          </a:r>
          <a:endParaRPr lang="fr-FR">
            <a:solidFill>
              <a:schemeClr val="bg1"/>
            </a:solidFill>
            <a:effectLst/>
          </a:endParaRPr>
        </a:p>
        <a:p>
          <a:r>
            <a:rPr lang="fr-FR" sz="1100">
              <a:solidFill>
                <a:schemeClr val="bg1"/>
              </a:solidFill>
              <a:effectLst/>
              <a:latin typeface="+mn-lt"/>
              <a:ea typeface="+mn-ea"/>
              <a:cs typeface="+mn-cs"/>
            </a:rPr>
            <a:t> FROM Rental</a:t>
          </a:r>
          <a:endParaRPr lang="fr-FR">
            <a:solidFill>
              <a:schemeClr val="bg1"/>
            </a:solidFill>
            <a:effectLst/>
          </a:endParaRPr>
        </a:p>
        <a:p>
          <a:r>
            <a:rPr lang="fr-FR" sz="1100">
              <a:solidFill>
                <a:schemeClr val="bg1"/>
              </a:solidFill>
              <a:effectLst/>
              <a:latin typeface="+mn-lt"/>
              <a:ea typeface="+mn-ea"/>
              <a:cs typeface="+mn-cs"/>
            </a:rPr>
            <a:t> GROUP BY jour_semaine,periode_journee</a:t>
          </a:r>
          <a:endParaRPr lang="fr-FR">
            <a:solidFill>
              <a:schemeClr val="bg1"/>
            </a:solidFill>
            <a:effectLst/>
          </a:endParaRPr>
        </a:p>
        <a:p>
          <a:r>
            <a:rPr lang="fr-FR" sz="1100">
              <a:solidFill>
                <a:schemeClr val="bg1"/>
              </a:solidFill>
              <a:effectLst/>
              <a:latin typeface="+mn-lt"/>
              <a:ea typeface="+mn-ea"/>
              <a:cs typeface="+mn-cs"/>
            </a:rPr>
            <a:t> ORDER BY jour_semaine;</a:t>
          </a:r>
          <a:endParaRPr lang="fr-FR">
            <a:solidFill>
              <a:schemeClr val="bg1"/>
            </a:solidFill>
            <a:effectLst/>
          </a:endParaRPr>
        </a:p>
        <a:p>
          <a:endParaRPr lang="fr-FR" sz="1100"/>
        </a:p>
      </xdr:txBody>
    </xdr:sp>
    <xdr:clientData/>
  </xdr:twoCellAnchor>
  <xdr:twoCellAnchor>
    <xdr:from>
      <xdr:col>18</xdr:col>
      <xdr:colOff>485775</xdr:colOff>
      <xdr:row>0</xdr:row>
      <xdr:rowOff>57150</xdr:rowOff>
    </xdr:from>
    <xdr:to>
      <xdr:col>24</xdr:col>
      <xdr:colOff>85725</xdr:colOff>
      <xdr:row>35</xdr:row>
      <xdr:rowOff>161925</xdr:rowOff>
    </xdr:to>
    <xdr:sp macro="" textlink="">
      <xdr:nvSpPr>
        <xdr:cNvPr id="5" name="Rectangle : coins arrondis 4">
          <a:extLst>
            <a:ext uri="{FF2B5EF4-FFF2-40B4-BE49-F238E27FC236}">
              <a16:creationId xmlns:a16="http://schemas.microsoft.com/office/drawing/2014/main" id="{E54FA678-B831-4C39-997E-9D439D69ADA9}"/>
            </a:ext>
          </a:extLst>
        </xdr:cNvPr>
        <xdr:cNvSpPr/>
      </xdr:nvSpPr>
      <xdr:spPr>
        <a:xfrm>
          <a:off x="14201775" y="57150"/>
          <a:ext cx="4171950" cy="6772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000"/>
            <a:t>CONCLUSION</a:t>
          </a:r>
        </a:p>
        <a:p>
          <a:pPr fontAlgn="base"/>
          <a:endParaRPr lang="fr-FR" sz="1100" b="0" i="0">
            <a:solidFill>
              <a:schemeClr val="lt1"/>
            </a:solidFill>
            <a:effectLst/>
            <a:latin typeface="+mn-lt"/>
            <a:ea typeface="+mn-ea"/>
            <a:cs typeface="+mn-cs"/>
          </a:endParaRPr>
        </a:p>
        <a:p>
          <a:pPr fontAlgn="base"/>
          <a:r>
            <a:rPr lang="fr-FR" sz="1100" b="0" i="0">
              <a:solidFill>
                <a:schemeClr val="lt1"/>
              </a:solidFill>
              <a:effectLst/>
              <a:latin typeface="+mn-lt"/>
              <a:ea typeface="+mn-ea"/>
              <a:cs typeface="+mn-cs"/>
            </a:rPr>
            <a:t>SELECT fi.film_id, COUNT(r.rental_id) AS "Nb location", Round(Avg(amount),2) AS "Moyenne par location et film"</a:t>
          </a:r>
        </a:p>
        <a:p>
          <a:pPr fontAlgn="base"/>
          <a:r>
            <a:rPr lang="fr-FR" sz="1100" b="0" i="0">
              <a:solidFill>
                <a:schemeClr val="lt1"/>
              </a:solidFill>
              <a:effectLst/>
              <a:latin typeface="+mn-lt"/>
              <a:ea typeface="+mn-ea"/>
              <a:cs typeface="+mn-cs"/>
            </a:rPr>
            <a:t>From Payment p inner join Rental r on p.rental_id= r.rental_id</a:t>
          </a:r>
        </a:p>
        <a:p>
          <a:pPr fontAlgn="base"/>
          <a:r>
            <a:rPr lang="fr-FR" sz="1100" b="0" i="0">
              <a:solidFill>
                <a:schemeClr val="lt1"/>
              </a:solidFill>
              <a:effectLst/>
              <a:latin typeface="+mn-lt"/>
              <a:ea typeface="+mn-ea"/>
              <a:cs typeface="+mn-cs"/>
            </a:rPr>
            <a:t>inner join Inventory i on r.inventory_id= i.inventory_id</a:t>
          </a:r>
        </a:p>
        <a:p>
          <a:pPr fontAlgn="base"/>
          <a:r>
            <a:rPr lang="fr-FR" sz="1100" b="0" i="0">
              <a:solidFill>
                <a:schemeClr val="lt1"/>
              </a:solidFill>
              <a:effectLst/>
              <a:latin typeface="+mn-lt"/>
              <a:ea typeface="+mn-ea"/>
              <a:cs typeface="+mn-cs"/>
            </a:rPr>
            <a:t>inner Join Film fi on i.film_id = fi.film_id</a:t>
          </a:r>
        </a:p>
        <a:p>
          <a:pPr fontAlgn="base"/>
          <a:r>
            <a:rPr lang="fr-FR" sz="1100" b="0" i="0">
              <a:solidFill>
                <a:schemeClr val="lt1"/>
              </a:solidFill>
              <a:effectLst/>
              <a:latin typeface="+mn-lt"/>
              <a:ea typeface="+mn-ea"/>
              <a:cs typeface="+mn-cs"/>
            </a:rPr>
            <a:t>Group by fi.film_id;</a:t>
          </a:r>
        </a:p>
        <a:p>
          <a:endParaRPr lang="fr-FR" sz="1100">
            <a:solidFill>
              <a:schemeClr val="lt1"/>
            </a:solidFill>
            <a:effectLst/>
            <a:latin typeface="+mn-lt"/>
            <a:ea typeface="+mn-ea"/>
            <a:cs typeface="+mn-cs"/>
          </a:endParaRPr>
        </a:p>
        <a:p>
          <a:endParaRPr lang="fr-FR" sz="1100">
            <a:solidFill>
              <a:schemeClr val="lt1"/>
            </a:solidFill>
            <a:effectLst/>
            <a:latin typeface="+mn-lt"/>
            <a:ea typeface="+mn-ea"/>
            <a:cs typeface="+mn-cs"/>
          </a:endParaRPr>
        </a:p>
        <a:p>
          <a:r>
            <a:rPr lang="fr-FR" sz="1100">
              <a:solidFill>
                <a:schemeClr val="lt1"/>
              </a:solidFill>
              <a:effectLst/>
              <a:latin typeface="+mn-lt"/>
              <a:ea typeface="+mn-ea"/>
              <a:cs typeface="+mn-cs"/>
            </a:rPr>
            <a:t>SELECT r.rental_id, ROUND(AVG(p.AMOUNT), 2) as "Montant moyen dépensé par location"</a:t>
          </a:r>
        </a:p>
        <a:p>
          <a:r>
            <a:rPr lang="fr-FR" sz="1100">
              <a:solidFill>
                <a:schemeClr val="lt1"/>
              </a:solidFill>
              <a:effectLst/>
              <a:latin typeface="+mn-lt"/>
              <a:ea typeface="+mn-ea"/>
              <a:cs typeface="+mn-cs"/>
            </a:rPr>
            <a:t>FROM rental r, payment p</a:t>
          </a:r>
        </a:p>
        <a:p>
          <a:r>
            <a:rPr lang="fr-FR" sz="1100">
              <a:solidFill>
                <a:schemeClr val="lt1"/>
              </a:solidFill>
              <a:effectLst/>
              <a:latin typeface="+mn-lt"/>
              <a:ea typeface="+mn-ea"/>
              <a:cs typeface="+mn-cs"/>
            </a:rPr>
            <a:t>WHERE r.rental_id = p.rental_id</a:t>
          </a:r>
        </a:p>
        <a:p>
          <a:r>
            <a:rPr lang="fr-FR" sz="1100">
              <a:solidFill>
                <a:schemeClr val="lt1"/>
              </a:solidFill>
              <a:effectLst/>
              <a:latin typeface="+mn-lt"/>
              <a:ea typeface="+mn-ea"/>
              <a:cs typeface="+mn-cs"/>
            </a:rPr>
            <a:t>GROUP by r.rental_id;</a:t>
          </a:r>
        </a:p>
        <a:p>
          <a:r>
            <a:rPr lang="fr-FR" sz="1100">
              <a:solidFill>
                <a:schemeClr val="lt1"/>
              </a:solidFill>
              <a:effectLst/>
              <a:latin typeface="+mn-lt"/>
              <a:ea typeface="+mn-ea"/>
              <a:cs typeface="+mn-cs"/>
            </a:rPr>
            <a:t> </a:t>
          </a:r>
        </a:p>
        <a:p>
          <a:endParaRPr lang="fr-FR" sz="1100">
            <a:solidFill>
              <a:schemeClr val="lt1"/>
            </a:solidFill>
            <a:effectLst/>
            <a:latin typeface="+mn-lt"/>
            <a:ea typeface="+mn-ea"/>
            <a:cs typeface="+mn-cs"/>
          </a:endParaRPr>
        </a:p>
        <a:p>
          <a:r>
            <a:rPr lang="fr-FR" sz="1100">
              <a:solidFill>
                <a:schemeClr val="lt1"/>
              </a:solidFill>
              <a:effectLst/>
              <a:latin typeface="+mn-lt"/>
              <a:ea typeface="+mn-ea"/>
              <a:cs typeface="+mn-cs"/>
            </a:rPr>
            <a:t>SELECT c.customer_id, ROUND(AVG(p.AMOUNT), 2) as "Montant moyen dépensé par client par location"</a:t>
          </a:r>
        </a:p>
        <a:p>
          <a:r>
            <a:rPr lang="fr-FR" sz="1100">
              <a:solidFill>
                <a:schemeClr val="lt1"/>
              </a:solidFill>
              <a:effectLst/>
              <a:latin typeface="+mn-lt"/>
              <a:ea typeface="+mn-ea"/>
              <a:cs typeface="+mn-cs"/>
            </a:rPr>
            <a:t>FROM Customer c, payment p</a:t>
          </a:r>
        </a:p>
        <a:p>
          <a:r>
            <a:rPr lang="fr-FR" sz="1100">
              <a:solidFill>
                <a:schemeClr val="lt1"/>
              </a:solidFill>
              <a:effectLst/>
              <a:latin typeface="+mn-lt"/>
              <a:ea typeface="+mn-ea"/>
              <a:cs typeface="+mn-cs"/>
            </a:rPr>
            <a:t>WHERE c.customer_id = p.customer_id</a:t>
          </a:r>
        </a:p>
        <a:p>
          <a:r>
            <a:rPr lang="fr-FR" sz="1100">
              <a:solidFill>
                <a:schemeClr val="lt1"/>
              </a:solidFill>
              <a:effectLst/>
              <a:latin typeface="+mn-lt"/>
              <a:ea typeface="+mn-ea"/>
              <a:cs typeface="+mn-cs"/>
            </a:rPr>
            <a:t>GROUP by c.customer_id;</a:t>
          </a:r>
        </a:p>
        <a:p>
          <a:endParaRPr lang="fr-FR" sz="1100">
            <a:solidFill>
              <a:schemeClr val="lt1"/>
            </a:solidFill>
            <a:effectLst/>
            <a:latin typeface="+mn-lt"/>
            <a:ea typeface="+mn-ea"/>
            <a:cs typeface="+mn-cs"/>
          </a:endParaRPr>
        </a:p>
        <a:p>
          <a:endParaRPr lang="fr-FR" sz="1100">
            <a:solidFill>
              <a:schemeClr val="lt1"/>
            </a:solidFill>
            <a:effectLst/>
            <a:latin typeface="+mn-lt"/>
            <a:ea typeface="+mn-ea"/>
            <a:cs typeface="+mn-cs"/>
          </a:endParaRPr>
        </a:p>
        <a:p>
          <a:r>
            <a:rPr lang="fr-FR" sz="1100">
              <a:solidFill>
                <a:schemeClr val="lt1"/>
              </a:solidFill>
              <a:effectLst/>
              <a:latin typeface="+mn-lt"/>
              <a:ea typeface="+mn-ea"/>
              <a:cs typeface="+mn-cs"/>
            </a:rPr>
            <a:t>SELECT count(c.country_id) AS "nombre de location par pays", c.country</a:t>
          </a:r>
        </a:p>
        <a:p>
          <a:r>
            <a:rPr lang="fr-FR" sz="1100">
              <a:solidFill>
                <a:schemeClr val="lt1"/>
              </a:solidFill>
              <a:effectLst/>
              <a:latin typeface="+mn-lt"/>
              <a:ea typeface="+mn-ea"/>
              <a:cs typeface="+mn-cs"/>
            </a:rPr>
            <a:t>FROM Country c, city cy, address a, customer cm, rental r</a:t>
          </a:r>
        </a:p>
        <a:p>
          <a:r>
            <a:rPr lang="fr-FR" sz="1100">
              <a:solidFill>
                <a:schemeClr val="lt1"/>
              </a:solidFill>
              <a:effectLst/>
              <a:latin typeface="+mn-lt"/>
              <a:ea typeface="+mn-ea"/>
              <a:cs typeface="+mn-cs"/>
            </a:rPr>
            <a:t>WHERE c.country_id= cy.country_id</a:t>
          </a:r>
        </a:p>
        <a:p>
          <a:r>
            <a:rPr lang="fr-FR" sz="1100">
              <a:solidFill>
                <a:schemeClr val="lt1"/>
              </a:solidFill>
              <a:effectLst/>
              <a:latin typeface="+mn-lt"/>
              <a:ea typeface="+mn-ea"/>
              <a:cs typeface="+mn-cs"/>
            </a:rPr>
            <a:t>AND cy.city_id= a.city_id</a:t>
          </a:r>
        </a:p>
        <a:p>
          <a:r>
            <a:rPr lang="fr-FR" sz="1100">
              <a:solidFill>
                <a:schemeClr val="lt1"/>
              </a:solidFill>
              <a:effectLst/>
              <a:latin typeface="+mn-lt"/>
              <a:ea typeface="+mn-ea"/>
              <a:cs typeface="+mn-cs"/>
            </a:rPr>
            <a:t>AND a.address_id= cm.address_id</a:t>
          </a:r>
        </a:p>
        <a:p>
          <a:r>
            <a:rPr lang="fr-FR" sz="1100">
              <a:solidFill>
                <a:schemeClr val="lt1"/>
              </a:solidFill>
              <a:effectLst/>
              <a:latin typeface="+mn-lt"/>
              <a:ea typeface="+mn-ea"/>
              <a:cs typeface="+mn-cs"/>
            </a:rPr>
            <a:t>AND cm.customer_id= r.customer_id</a:t>
          </a:r>
        </a:p>
        <a:p>
          <a:r>
            <a:rPr lang="fr-FR" sz="1100">
              <a:solidFill>
                <a:schemeClr val="lt1"/>
              </a:solidFill>
              <a:effectLst/>
              <a:latin typeface="+mn-lt"/>
              <a:ea typeface="+mn-ea"/>
              <a:cs typeface="+mn-cs"/>
            </a:rPr>
            <a:t>GROUP BY c.country_id, c.country</a:t>
          </a:r>
        </a:p>
        <a:p>
          <a:r>
            <a:rPr lang="fr-FR" sz="1100">
              <a:solidFill>
                <a:schemeClr val="lt1"/>
              </a:solidFill>
              <a:effectLst/>
              <a:latin typeface="+mn-lt"/>
              <a:ea typeface="+mn-ea"/>
              <a:cs typeface="+mn-cs"/>
            </a:rPr>
            <a:t>ORDER BY count(c.country_id) DESC;</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1</xdr:row>
      <xdr:rowOff>76200</xdr:rowOff>
    </xdr:from>
    <xdr:to>
      <xdr:col>28</xdr:col>
      <xdr:colOff>565339</xdr:colOff>
      <xdr:row>34</xdr:row>
      <xdr:rowOff>0</xdr:rowOff>
    </xdr:to>
    <xdr:pic>
      <xdr:nvPicPr>
        <xdr:cNvPr id="6" name="Image 1">
          <a:extLst>
            <a:ext uri="{FF2B5EF4-FFF2-40B4-BE49-F238E27FC236}">
              <a16:creationId xmlns:a16="http://schemas.microsoft.com/office/drawing/2014/main" id="{C80FACB8-54E4-C03A-4986-8500F4241C7A}"/>
            </a:ext>
          </a:extLst>
        </xdr:cNvPr>
        <xdr:cNvPicPr>
          <a:picLocks noChangeAspect="1"/>
        </xdr:cNvPicPr>
      </xdr:nvPicPr>
      <xdr:blipFill>
        <a:blip xmlns:r="http://schemas.openxmlformats.org/officeDocument/2006/relationships" r:embed="rId1"/>
        <a:stretch>
          <a:fillRect/>
        </a:stretch>
      </xdr:blipFill>
      <xdr:spPr>
        <a:xfrm>
          <a:off x="219075" y="266700"/>
          <a:ext cx="17415064" cy="6210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666750</xdr:colOff>
      <xdr:row>5</xdr:row>
      <xdr:rowOff>180975</xdr:rowOff>
    </xdr:from>
    <xdr:to>
      <xdr:col>5</xdr:col>
      <xdr:colOff>85725</xdr:colOff>
      <xdr:row>10</xdr:row>
      <xdr:rowOff>180975</xdr:rowOff>
    </xdr:to>
    <xdr:sp macro="" textlink="">
      <xdr:nvSpPr>
        <xdr:cNvPr id="21" name="Rectangle arrondi 1">
          <a:extLst>
            <a:ext uri="{FF2B5EF4-FFF2-40B4-BE49-F238E27FC236}">
              <a16:creationId xmlns:a16="http://schemas.microsoft.com/office/drawing/2014/main" id="{967BBA27-8E45-311D-0233-858079A07DD8}"/>
            </a:ext>
          </a:extLst>
        </xdr:cNvPr>
        <xdr:cNvSpPr/>
      </xdr:nvSpPr>
      <xdr:spPr>
        <a:xfrm>
          <a:off x="666750" y="1133475"/>
          <a:ext cx="32289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r>
            <a:rPr lang="en-US" sz="14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 DE LOCATION:</a:t>
          </a:r>
        </a:p>
        <a:p>
          <a:pPr marL="0" indent="0" algn="l"/>
          <a:endParaRPr lang="en-US" sz="14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a:p>
          <a:pPr marL="0" indent="0" algn="l"/>
          <a:endParaRPr lang="en-US" sz="14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133350</xdr:colOff>
      <xdr:row>7</xdr:row>
      <xdr:rowOff>47625</xdr:rowOff>
    </xdr:from>
    <xdr:to>
      <xdr:col>3</xdr:col>
      <xdr:colOff>466725</xdr:colOff>
      <xdr:row>10</xdr:row>
      <xdr:rowOff>180975</xdr:rowOff>
    </xdr:to>
    <xdr:sp macro="" textlink="">
      <xdr:nvSpPr>
        <xdr:cNvPr id="63" name="ZoneTexte 2">
          <a:extLst>
            <a:ext uri="{FF2B5EF4-FFF2-40B4-BE49-F238E27FC236}">
              <a16:creationId xmlns:a16="http://schemas.microsoft.com/office/drawing/2014/main" id="{01A7D6CB-1983-852C-47B3-9F25E43C3D9A}"/>
            </a:ext>
            <a:ext uri="{147F2762-F138-4A5C-976F-8EAC2B608ADB}">
              <a16:predDERef xmlns:a16="http://schemas.microsoft.com/office/drawing/2014/main" pred="{967BBA27-8E45-311D-0233-858079A07DD8}"/>
            </a:ext>
          </a:extLst>
        </xdr:cNvPr>
        <xdr:cNvSpPr txBox="1"/>
      </xdr:nvSpPr>
      <xdr:spPr>
        <a:xfrm>
          <a:off x="1762125" y="1381125"/>
          <a:ext cx="1438275" cy="704850"/>
        </a:xfrm>
        <a:prstGeom prst="rect">
          <a:avLst/>
        </a:prstGeom>
        <a:noFill/>
        <a:ln w="9525" cmpd="sng">
          <a:noFill/>
        </a:ln>
      </xdr:spPr>
      <xdr:txBody>
        <a:bodyPr spcFirstLastPara="0" vertOverflow="clip" horzOverflow="clip" wrap="square" lIns="91440" tIns="45720" rIns="91440" bIns="45720" rtlCol="0" anchor="t">
          <a:noAutofit/>
        </a:bodyPr>
        <a:lstStyle/>
        <a:p>
          <a:pPr marL="0" indent="0" algn="l"/>
          <a:r>
            <a:rPr lang="en-US" sz="3600" b="0"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16044</a:t>
          </a:r>
        </a:p>
      </xdr:txBody>
    </xdr:sp>
    <xdr:clientData/>
  </xdr:twoCellAnchor>
  <xdr:twoCellAnchor>
    <xdr:from>
      <xdr:col>4</xdr:col>
      <xdr:colOff>695325</xdr:colOff>
      <xdr:row>20</xdr:row>
      <xdr:rowOff>85725</xdr:rowOff>
    </xdr:from>
    <xdr:to>
      <xdr:col>10</xdr:col>
      <xdr:colOff>695325</xdr:colOff>
      <xdr:row>34</xdr:row>
      <xdr:rowOff>161925</xdr:rowOff>
    </xdr:to>
    <xdr:graphicFrame macro="">
      <xdr:nvGraphicFramePr>
        <xdr:cNvPr id="57" name="Graphique 3" descr="Type de graphique : Histogramme groupé. « Nombre de films » par « categorie »&#10;&#10;Description générée automatiquement">
          <a:extLst>
            <a:ext uri="{FF2B5EF4-FFF2-40B4-BE49-F238E27FC236}">
              <a16:creationId xmlns:a16="http://schemas.microsoft.com/office/drawing/2014/main" id="{89173D27-8B1D-9E05-3106-75697BB79BD0}"/>
            </a:ext>
            <a:ext uri="{147F2762-F138-4A5C-976F-8EAC2B608ADB}">
              <a16:predDERef xmlns:a16="http://schemas.microsoft.com/office/drawing/2014/main" pred="{01A7D6CB-1983-852C-47B3-9F25E43C3D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514350</xdr:colOff>
      <xdr:row>4</xdr:row>
      <xdr:rowOff>152400</xdr:rowOff>
    </xdr:from>
    <xdr:to>
      <xdr:col>11</xdr:col>
      <xdr:colOff>704850</xdr:colOff>
      <xdr:row>18</xdr:row>
      <xdr:rowOff>152400</xdr:rowOff>
    </xdr:to>
    <xdr:sp macro="" textlink="">
      <xdr:nvSpPr>
        <xdr:cNvPr id="60" name="Rectangle arrondi 4">
          <a:extLst>
            <a:ext uri="{FF2B5EF4-FFF2-40B4-BE49-F238E27FC236}">
              <a16:creationId xmlns:a16="http://schemas.microsoft.com/office/drawing/2014/main" id="{5F2B00B1-5453-C876-390C-E5032963D703}"/>
            </a:ext>
            <a:ext uri="{147F2762-F138-4A5C-976F-8EAC2B608ADB}">
              <a16:predDERef xmlns:a16="http://schemas.microsoft.com/office/drawing/2014/main" pred="{89173D27-8B1D-9E05-3106-75697BB79BD0}"/>
            </a:ext>
          </a:extLst>
        </xdr:cNvPr>
        <xdr:cNvSpPr/>
      </xdr:nvSpPr>
      <xdr:spPr>
        <a:xfrm>
          <a:off x="4772025" y="914400"/>
          <a:ext cx="4762500" cy="2667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Les schémas montrent que le catalogue de films est réparti de façon assez équilibrée entre les différentes catégories, avec environ une soixantaine de films par genre. Aucune catégorie ne se démarque fortement, ce qui montre une volonté de proposer une offre variée aux clients.</a:t>
          </a:r>
        </a:p>
        <a:p>
          <a:pPr marL="0" indent="0" algn="l"/>
          <a:endParaRPr lang="en-US" sz="1100">
            <a:solidFill>
              <a:schemeClr val="lt1"/>
            </a:solidFill>
            <a:latin typeface="+mn-lt"/>
            <a:ea typeface="+mn-lt"/>
            <a:cs typeface="+mn-lt"/>
          </a:endParaRPr>
        </a:p>
        <a:p>
          <a:pPr marL="0" indent="0" algn="l"/>
          <a:r>
            <a:rPr lang="en-US" sz="1100">
              <a:solidFill>
                <a:schemeClr val="lt1"/>
              </a:solidFill>
              <a:latin typeface="+mn-lt"/>
              <a:ea typeface="+mn-lt"/>
              <a:cs typeface="+mn-lt"/>
            </a:rPr>
            <a:t>Le graphique fait néanmoins apparaître quelques différences : les catégories Sports, Foreign, Family et Animation comptent un peu plus de films que la moyenne, tandis que les catégories Horror, Music et Classics sont légèrement moins représentées.</a:t>
          </a:r>
        </a:p>
        <a:p>
          <a:pPr marL="0" indent="0" algn="l"/>
          <a:endParaRPr lang="en-US" sz="1100">
            <a:solidFill>
              <a:schemeClr val="lt1"/>
            </a:solidFill>
            <a:latin typeface="+mn-lt"/>
            <a:ea typeface="+mn-lt"/>
            <a:cs typeface="+mn-lt"/>
          </a:endParaRPr>
        </a:p>
        <a:p>
          <a:pPr marL="0" indent="0" algn="l"/>
          <a:r>
            <a:rPr lang="en-US" sz="1100">
              <a:solidFill>
                <a:schemeClr val="lt1"/>
              </a:solidFill>
              <a:latin typeface="+mn-lt"/>
              <a:ea typeface="+mn-lt"/>
              <a:cs typeface="+mn-lt"/>
            </a:rPr>
            <a:t>Le nombre total de films (1 000), comparé au nombre important de locations (16 044), montre que le catalogue est globalement bien utilisé. Toutefois, on constate que certains films sont</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pas du tout</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 </a:t>
          </a:r>
          <a:r>
            <a:rPr lang="en-US" sz="1100">
              <a:solidFill>
                <a:schemeClr val="lt1"/>
              </a:solidFill>
              <a:latin typeface="+mn-lt"/>
              <a:ea typeface="+mn-lt"/>
              <a:cs typeface="+mn-lt"/>
            </a:rPr>
            <a:t>loués</a:t>
          </a:r>
          <a:r>
            <a:rPr lang="en-US" sz="11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714375</xdr:colOff>
      <xdr:row>1</xdr:row>
      <xdr:rowOff>19050</xdr:rowOff>
    </xdr:from>
    <xdr:to>
      <xdr:col>6</xdr:col>
      <xdr:colOff>342900</xdr:colOff>
      <xdr:row>4</xdr:row>
      <xdr:rowOff>76200</xdr:rowOff>
    </xdr:to>
    <xdr:sp macro="[0]!Module1.trie" textlink="">
      <xdr:nvSpPr>
        <xdr:cNvPr id="5" name="Rectangle 4">
          <a:extLst>
            <a:ext uri="{FF2B5EF4-FFF2-40B4-BE49-F238E27FC236}">
              <a16:creationId xmlns:a16="http://schemas.microsoft.com/office/drawing/2014/main" id="{04637977-6895-4A1A-AB11-001BEEEB74B3}"/>
            </a:ext>
          </a:extLst>
        </xdr:cNvPr>
        <xdr:cNvSpPr/>
      </xdr:nvSpPr>
      <xdr:spPr>
        <a:xfrm>
          <a:off x="3905250" y="209550"/>
          <a:ext cx="2286000" cy="628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AFFICHER</a:t>
          </a:r>
          <a:r>
            <a:rPr lang="fr-FR" sz="1100" b="1" baseline="0"/>
            <a:t> LES N PREMIERS</a:t>
          </a:r>
          <a:endParaRPr lang="fr-FR" sz="1100" b="1"/>
        </a:p>
        <a:p>
          <a:pPr algn="l"/>
          <a:endParaRPr lang="fr-FR" sz="1100" b="1"/>
        </a:p>
      </xdr:txBody>
    </xdr:sp>
    <xdr:clientData/>
  </xdr:twoCellAnchor>
  <xdr:twoCellAnchor>
    <xdr:from>
      <xdr:col>6</xdr:col>
      <xdr:colOff>619125</xdr:colOff>
      <xdr:row>1</xdr:row>
      <xdr:rowOff>0</xdr:rowOff>
    </xdr:from>
    <xdr:to>
      <xdr:col>8</xdr:col>
      <xdr:colOff>161925</xdr:colOff>
      <xdr:row>4</xdr:row>
      <xdr:rowOff>76200</xdr:rowOff>
    </xdr:to>
    <xdr:sp macro="[0]!detrie" textlink="">
      <xdr:nvSpPr>
        <xdr:cNvPr id="6" name="Rectangle 5">
          <a:extLst>
            <a:ext uri="{FF2B5EF4-FFF2-40B4-BE49-F238E27FC236}">
              <a16:creationId xmlns:a16="http://schemas.microsoft.com/office/drawing/2014/main" id="{92DA888E-0CBA-48BD-AE01-CCD3E995EC30}"/>
            </a:ext>
          </a:extLst>
        </xdr:cNvPr>
        <xdr:cNvSpPr/>
      </xdr:nvSpPr>
      <xdr:spPr>
        <a:xfrm>
          <a:off x="6467475" y="190500"/>
          <a:ext cx="1819275"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AFFICHER TOUT</a:t>
          </a:r>
        </a:p>
        <a:p>
          <a:pPr algn="l"/>
          <a:endParaRPr lang="fr-FR" sz="1100"/>
        </a:p>
      </xdr:txBody>
    </xdr:sp>
    <xdr:clientData/>
  </xdr:twoCellAnchor>
  <xdr:twoCellAnchor>
    <xdr:from>
      <xdr:col>2</xdr:col>
      <xdr:colOff>419100</xdr:colOff>
      <xdr:row>5</xdr:row>
      <xdr:rowOff>123825</xdr:rowOff>
    </xdr:from>
    <xdr:to>
      <xdr:col>5</xdr:col>
      <xdr:colOff>885825</xdr:colOff>
      <xdr:row>6</xdr:row>
      <xdr:rowOff>142875</xdr:rowOff>
    </xdr:to>
    <xdr:sp macro="" textlink="">
      <xdr:nvSpPr>
        <xdr:cNvPr id="7" name="Rectangle 6">
          <a:extLst>
            <a:ext uri="{FF2B5EF4-FFF2-40B4-BE49-F238E27FC236}">
              <a16:creationId xmlns:a16="http://schemas.microsoft.com/office/drawing/2014/main" id="{62D84248-B687-44F7-B173-A323AAD5601B}"/>
            </a:ext>
          </a:extLst>
        </xdr:cNvPr>
        <xdr:cNvSpPr/>
      </xdr:nvSpPr>
      <xdr:spPr>
        <a:xfrm>
          <a:off x="1981200" y="1076325"/>
          <a:ext cx="3238500" cy="209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TABLEAU TRIE</a:t>
          </a:r>
          <a:r>
            <a:rPr lang="fr-FR" sz="1100" baseline="0"/>
            <a:t> PAR NOMBRE DE LOCATIONS</a:t>
          </a:r>
          <a:endParaRPr lang="fr-FR" sz="1100"/>
        </a:p>
      </xdr:txBody>
    </xdr:sp>
    <xdr:clientData/>
  </xdr:twoCellAnchor>
  <xdr:twoCellAnchor>
    <xdr:from>
      <xdr:col>10</xdr:col>
      <xdr:colOff>0</xdr:colOff>
      <xdr:row>5</xdr:row>
      <xdr:rowOff>0</xdr:rowOff>
    </xdr:from>
    <xdr:to>
      <xdr:col>12</xdr:col>
      <xdr:colOff>1143000</xdr:colOff>
      <xdr:row>6</xdr:row>
      <xdr:rowOff>19050</xdr:rowOff>
    </xdr:to>
    <xdr:sp macro="" textlink="">
      <xdr:nvSpPr>
        <xdr:cNvPr id="8" name="Rectangle 7">
          <a:extLst>
            <a:ext uri="{FF2B5EF4-FFF2-40B4-BE49-F238E27FC236}">
              <a16:creationId xmlns:a16="http://schemas.microsoft.com/office/drawing/2014/main" id="{0C455FD7-C93B-49EC-A267-B6ED2B54C8B8}"/>
            </a:ext>
          </a:extLst>
        </xdr:cNvPr>
        <xdr:cNvSpPr/>
      </xdr:nvSpPr>
      <xdr:spPr>
        <a:xfrm>
          <a:off x="10086975" y="952500"/>
          <a:ext cx="3238500" cy="209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TABLEAU TRIE</a:t>
          </a:r>
          <a:r>
            <a:rPr lang="fr-FR" sz="1100" baseline="0"/>
            <a:t> PAR MONTANT TOTAL DEPENSE</a:t>
          </a:r>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6</xdr:row>
      <xdr:rowOff>123826</xdr:rowOff>
    </xdr:from>
    <xdr:to>
      <xdr:col>9</xdr:col>
      <xdr:colOff>438150</xdr:colOff>
      <xdr:row>19</xdr:row>
      <xdr:rowOff>142876</xdr:rowOff>
    </xdr:to>
    <xdr:graphicFrame macro="">
      <xdr:nvGraphicFramePr>
        <xdr:cNvPr id="36" name="Graphique 2" descr="Type de graphique : Histogramme groupé. « nb_locations » par « jour_semaine »&#10;&#10;Description générée automatiquement">
          <a:extLst>
            <a:ext uri="{FF2B5EF4-FFF2-40B4-BE49-F238E27FC236}">
              <a16:creationId xmlns:a16="http://schemas.microsoft.com/office/drawing/2014/main" id="{A84107B5-6193-12EB-F1B0-F2CB621584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628650</xdr:colOff>
      <xdr:row>21</xdr:row>
      <xdr:rowOff>47625</xdr:rowOff>
    </xdr:from>
    <xdr:to>
      <xdr:col>9</xdr:col>
      <xdr:colOff>628650</xdr:colOff>
      <xdr:row>35</xdr:row>
      <xdr:rowOff>123825</xdr:rowOff>
    </xdr:to>
    <xdr:graphicFrame macro="">
      <xdr:nvGraphicFramePr>
        <xdr:cNvPr id="58" name="Graphique 3" descr="Type de graphique : Secteurs. « nb_locations » par « periode_journee »&#10;&#10;Description générée automatiquement">
          <a:extLst>
            <a:ext uri="{FF2B5EF4-FFF2-40B4-BE49-F238E27FC236}">
              <a16:creationId xmlns:a16="http://schemas.microsoft.com/office/drawing/2014/main" id="{94E74813-F736-0652-4CEB-9914EF21E51A}"/>
            </a:ext>
            <a:ext uri="{147F2762-F138-4A5C-976F-8EAC2B608ADB}">
              <a16:predDERef xmlns:a16="http://schemas.microsoft.com/office/drawing/2014/main" pred="{A84107B5-6193-12EB-F1B0-F2CB621584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161925</xdr:colOff>
      <xdr:row>6</xdr:row>
      <xdr:rowOff>38100</xdr:rowOff>
    </xdr:from>
    <xdr:to>
      <xdr:col>15</xdr:col>
      <xdr:colOff>485775</xdr:colOff>
      <xdr:row>33</xdr:row>
      <xdr:rowOff>19050</xdr:rowOff>
    </xdr:to>
    <xdr:sp macro="" textlink="">
      <xdr:nvSpPr>
        <xdr:cNvPr id="62" name="Rectangle arrondi 4">
          <a:extLst>
            <a:ext uri="{FF2B5EF4-FFF2-40B4-BE49-F238E27FC236}">
              <a16:creationId xmlns:a16="http://schemas.microsoft.com/office/drawing/2014/main" id="{F4F81208-4936-0813-A259-E393F5CB6083}"/>
            </a:ext>
            <a:ext uri="{147F2762-F138-4A5C-976F-8EAC2B608ADB}">
              <a16:predDERef xmlns:a16="http://schemas.microsoft.com/office/drawing/2014/main" pred="{94E74813-F736-0652-4CEB-9914EF21E51A}"/>
            </a:ext>
          </a:extLst>
        </xdr:cNvPr>
        <xdr:cNvSpPr/>
      </xdr:nvSpPr>
      <xdr:spPr>
        <a:xfrm>
          <a:off x="9115425" y="1181100"/>
          <a:ext cx="4133850" cy="512445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fr-FR" sz="1600" b="0">
              <a:latin typeface="Arial" panose="020B0604020202020204" pitchFamily="34" charset="0"/>
              <a:cs typeface="Arial" panose="020B0604020202020204" pitchFamily="34" charset="0"/>
            </a:rPr>
            <a:t>Les données montrent que les locations sont assez régulières tout au long de la semaine. Le mardi est le jour où il y a le plus de locations, tandis que le jeudi est le jour le moins fréquenté. Les autres jours ont des résultats proches, ce qui signifie que les clients viennent presque tous les jours de la semaine.</a:t>
          </a:r>
        </a:p>
        <a:p>
          <a:pPr algn="l"/>
          <a:endParaRPr lang="fr-FR" sz="1600" b="0">
            <a:latin typeface="Arial" panose="020B0604020202020204" pitchFamily="34" charset="0"/>
            <a:cs typeface="Arial" panose="020B0604020202020204" pitchFamily="34" charset="0"/>
          </a:endParaRPr>
        </a:p>
        <a:p>
          <a:pPr algn="l"/>
          <a:r>
            <a:rPr lang="fr-FR" sz="1600" b="0">
              <a:latin typeface="Arial" panose="020B0604020202020204" pitchFamily="34" charset="0"/>
              <a:cs typeface="Arial" panose="020B0604020202020204" pitchFamily="34" charset="0"/>
            </a:rPr>
            <a:t>En ce qui concerne les horaires, l’après-midi est le moment où l’on loue le plus de films, suivi du matin. Le soir et la nuit sont un peu moins fréquentés, mais restent importants.</a:t>
          </a:r>
        </a:p>
        <a:p>
          <a:pPr algn="l"/>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161925</xdr:colOff>
      <xdr:row>5</xdr:row>
      <xdr:rowOff>104775</xdr:rowOff>
    </xdr:from>
    <xdr:to>
      <xdr:col>3</xdr:col>
      <xdr:colOff>590550</xdr:colOff>
      <xdr:row>8</xdr:row>
      <xdr:rowOff>38100</xdr:rowOff>
    </xdr:to>
    <xdr:sp macro="" textlink="">
      <xdr:nvSpPr>
        <xdr:cNvPr id="3" name="Rectangle : coins arrondis 1">
          <a:extLst>
            <a:ext uri="{FF2B5EF4-FFF2-40B4-BE49-F238E27FC236}">
              <a16:creationId xmlns:a16="http://schemas.microsoft.com/office/drawing/2014/main" id="{2E72FE23-2F8F-4231-8A44-9369261228CC}"/>
            </a:ext>
          </a:extLst>
        </xdr:cNvPr>
        <xdr:cNvSpPr/>
      </xdr:nvSpPr>
      <xdr:spPr>
        <a:xfrm>
          <a:off x="161925" y="1057275"/>
          <a:ext cx="3886200"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000"/>
            <a:t>DANS QUELLE</a:t>
          </a:r>
          <a:r>
            <a:rPr lang="fr-FR" sz="2000" baseline="0"/>
            <a:t> ZONE S'IMPLANTER ?</a:t>
          </a:r>
        </a:p>
        <a:p>
          <a:pPr algn="ctr"/>
          <a:endParaRPr lang="fr-FR" sz="2000"/>
        </a:p>
      </xdr:txBody>
    </xdr:sp>
    <xdr:clientData/>
  </xdr:twoCellAnchor>
  <xdr:twoCellAnchor>
    <xdr:from>
      <xdr:col>13</xdr:col>
      <xdr:colOff>19048</xdr:colOff>
      <xdr:row>5</xdr:row>
      <xdr:rowOff>57150</xdr:rowOff>
    </xdr:from>
    <xdr:to>
      <xdr:col>21</xdr:col>
      <xdr:colOff>209547</xdr:colOff>
      <xdr:row>9</xdr:row>
      <xdr:rowOff>142875</xdr:rowOff>
    </xdr:to>
    <xdr:sp macro="" textlink="">
      <xdr:nvSpPr>
        <xdr:cNvPr id="8" name="Rectangle arrondi 2">
          <a:extLst>
            <a:ext uri="{FF2B5EF4-FFF2-40B4-BE49-F238E27FC236}">
              <a16:creationId xmlns:a16="http://schemas.microsoft.com/office/drawing/2014/main" id="{3BA70037-55BE-5993-B0A2-CAF9CE53489C}"/>
            </a:ext>
            <a:ext uri="{147F2762-F138-4A5C-976F-8EAC2B608ADB}">
              <a16:predDERef xmlns:a16="http://schemas.microsoft.com/office/drawing/2014/main" pred="{2E72FE23-2F8F-4231-8A44-9369261228CC}"/>
            </a:ext>
          </a:extLst>
        </xdr:cNvPr>
        <xdr:cNvSpPr/>
      </xdr:nvSpPr>
      <xdr:spPr>
        <a:xfrm flipH="1">
          <a:off x="11096623" y="1009650"/>
          <a:ext cx="6286499" cy="8477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r>
            <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QUEL EST LE MONTANT MOYEN DEPENSE PAR CLIENT ET PAR LOCATION ?</a:t>
          </a:r>
        </a:p>
      </xdr:txBody>
    </xdr:sp>
    <xdr:clientData/>
  </xdr:twoCellAnchor>
  <xdr:twoCellAnchor>
    <xdr:from>
      <xdr:col>4</xdr:col>
      <xdr:colOff>133350</xdr:colOff>
      <xdr:row>5</xdr:row>
      <xdr:rowOff>28575</xdr:rowOff>
    </xdr:from>
    <xdr:to>
      <xdr:col>12</xdr:col>
      <xdr:colOff>571499</xdr:colOff>
      <xdr:row>9</xdr:row>
      <xdr:rowOff>104774</xdr:rowOff>
    </xdr:to>
    <xdr:sp macro="" textlink="">
      <xdr:nvSpPr>
        <xdr:cNvPr id="12" name="Rectangle arrondi 3">
          <a:extLst>
            <a:ext uri="{FF2B5EF4-FFF2-40B4-BE49-F238E27FC236}">
              <a16:creationId xmlns:a16="http://schemas.microsoft.com/office/drawing/2014/main" id="{BC351691-28D2-BCB9-B97E-02663ADB05F8}"/>
            </a:ext>
            <a:ext uri="{147F2762-F138-4A5C-976F-8EAC2B608ADB}">
              <a16:predDERef xmlns:a16="http://schemas.microsoft.com/office/drawing/2014/main" pred="{3BA70037-55BE-5993-B0A2-CAF9CE53489C}"/>
            </a:ext>
          </a:extLst>
        </xdr:cNvPr>
        <xdr:cNvSpPr/>
      </xdr:nvSpPr>
      <xdr:spPr>
        <a:xfrm>
          <a:off x="4352925" y="981075"/>
          <a:ext cx="6534149" cy="8381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r>
            <a:rPr lang="en-US" sz="20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FAUT - IL PRIVILIGIER DES JOURS ET/ OU HORAIRES D'OUVERTURE ?</a:t>
          </a:r>
        </a:p>
      </xdr:txBody>
    </xdr:sp>
    <xdr:clientData/>
  </xdr:twoCellAnchor>
  <xdr:twoCellAnchor>
    <xdr:from>
      <xdr:col>0</xdr:col>
      <xdr:colOff>123826</xdr:colOff>
      <xdr:row>16</xdr:row>
      <xdr:rowOff>19050</xdr:rowOff>
    </xdr:from>
    <xdr:to>
      <xdr:col>3</xdr:col>
      <xdr:colOff>685801</xdr:colOff>
      <xdr:row>22</xdr:row>
      <xdr:rowOff>123825</xdr:rowOff>
    </xdr:to>
    <xdr:sp macro="" textlink="">
      <xdr:nvSpPr>
        <xdr:cNvPr id="2" name="Rectangle 1">
          <a:extLst>
            <a:ext uri="{FF2B5EF4-FFF2-40B4-BE49-F238E27FC236}">
              <a16:creationId xmlns:a16="http://schemas.microsoft.com/office/drawing/2014/main" id="{9B214B2C-3731-4268-A7BB-5131BFB5CBBA}"/>
            </a:ext>
          </a:extLst>
        </xdr:cNvPr>
        <xdr:cNvSpPr/>
      </xdr:nvSpPr>
      <xdr:spPr>
        <a:xfrm>
          <a:off x="123826" y="3067050"/>
          <a:ext cx="4019550" cy="12477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fr-FR" sz="1600"/>
            <a:t>On constate que parmi les 5 pays ayant</a:t>
          </a:r>
          <a:r>
            <a:rPr lang="fr-FR" sz="1600" baseline="0"/>
            <a:t> enregistré le plus grand nombre de locations, 5 sont situés en Asie. La zone la plus propice pour s'implanter serait l'Asie.</a:t>
          </a:r>
          <a:endParaRPr lang="fr-FR" sz="1600"/>
        </a:p>
      </xdr:txBody>
    </xdr:sp>
    <xdr:clientData/>
  </xdr:twoCellAnchor>
  <xdr:twoCellAnchor>
    <xdr:from>
      <xdr:col>8</xdr:col>
      <xdr:colOff>209550</xdr:colOff>
      <xdr:row>11</xdr:row>
      <xdr:rowOff>38100</xdr:rowOff>
    </xdr:from>
    <xdr:to>
      <xdr:col>12</xdr:col>
      <xdr:colOff>361950</xdr:colOff>
      <xdr:row>20</xdr:row>
      <xdr:rowOff>152399</xdr:rowOff>
    </xdr:to>
    <xdr:sp macro="" textlink="">
      <xdr:nvSpPr>
        <xdr:cNvPr id="4" name="Rectangle 3">
          <a:extLst>
            <a:ext uri="{FF2B5EF4-FFF2-40B4-BE49-F238E27FC236}">
              <a16:creationId xmlns:a16="http://schemas.microsoft.com/office/drawing/2014/main" id="{B16CE49E-A16D-4231-9478-24DA87296721}"/>
            </a:ext>
          </a:extLst>
        </xdr:cNvPr>
        <xdr:cNvSpPr/>
      </xdr:nvSpPr>
      <xdr:spPr>
        <a:xfrm>
          <a:off x="7477125" y="2133600"/>
          <a:ext cx="3200400" cy="1828799"/>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fr-FR" sz="1600"/>
            <a:t>On constate que chaque jour et chaque moment de la journée, le nombre de location est à peu près équivalent.</a:t>
          </a:r>
          <a:r>
            <a:rPr lang="fr-FR" sz="1600" baseline="0"/>
            <a:t> Il n'y a pas de jours/ à privilégier. Hormi le mardi qui enregistre un nombre élevé de locations l'après-midi et la nuit.</a:t>
          </a:r>
          <a:endParaRPr lang="fr-FR" sz="1600"/>
        </a:p>
      </xdr:txBody>
    </xdr:sp>
    <xdr:clientData/>
  </xdr:twoCellAnchor>
  <xdr:twoCellAnchor>
    <xdr:from>
      <xdr:col>17</xdr:col>
      <xdr:colOff>190500</xdr:colOff>
      <xdr:row>15</xdr:row>
      <xdr:rowOff>47625</xdr:rowOff>
    </xdr:from>
    <xdr:to>
      <xdr:col>21</xdr:col>
      <xdr:colOff>342900</xdr:colOff>
      <xdr:row>24</xdr:row>
      <xdr:rowOff>161924</xdr:rowOff>
    </xdr:to>
    <xdr:sp macro="" textlink="">
      <xdr:nvSpPr>
        <xdr:cNvPr id="10" name="Rectangle 9">
          <a:extLst>
            <a:ext uri="{FF2B5EF4-FFF2-40B4-BE49-F238E27FC236}">
              <a16:creationId xmlns:a16="http://schemas.microsoft.com/office/drawing/2014/main" id="{82355FDE-04C6-4234-99CA-7DC44D7CD5B5}"/>
            </a:ext>
          </a:extLst>
        </xdr:cNvPr>
        <xdr:cNvSpPr/>
      </xdr:nvSpPr>
      <xdr:spPr>
        <a:xfrm>
          <a:off x="16430625" y="2905125"/>
          <a:ext cx="3200400" cy="1828799"/>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fr-FR" sz="1600"/>
            <a:t>Le</a:t>
          </a:r>
          <a:r>
            <a:rPr lang="fr-FR" sz="1600" baseline="0"/>
            <a:t> montant moyen dépensé par client est 112,53€ et le montant moyen dépensé par location est 4,2€.</a:t>
          </a:r>
          <a:endParaRPr lang="fr-FR" sz="16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38.568114930553" createdVersion="8" refreshedVersion="8" minRefreshableVersion="3" recordCount="16" xr:uid="{6546A7DA-0459-4250-9DF9-839B6343839B}">
  <cacheSource type="worksheet">
    <worksheetSource name="SQL__cours_et_exercices"/>
  </cacheSource>
  <cacheFields count="2">
    <cacheField name="categorie" numFmtId="0">
      <sharedItems count="16">
        <s v="Action"/>
        <s v="Animation"/>
        <s v="Children"/>
        <s v="Classics"/>
        <s v="Comedy"/>
        <s v="Documentary"/>
        <s v="Drama"/>
        <s v="Family"/>
        <s v="Foreign"/>
        <s v="Games"/>
        <s v="Horror"/>
        <s v="Music"/>
        <s v="New"/>
        <s v="Sci-Fi"/>
        <s v="Sports"/>
        <s v="Travel"/>
      </sharedItems>
    </cacheField>
    <cacheField name="Nombre de films" numFmtId="0">
      <sharedItems containsSemiMixedTypes="0" containsString="0" containsNumber="1" containsInteger="1" minValue="51" maxValue="7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38.570638078701" createdVersion="8" refreshedVersion="8" minRefreshableVersion="3" recordCount="42" xr:uid="{F35FB9A0-63B9-44F5-AA65-93F3EF1242AA}">
  <cacheSource type="worksheet">
    <worksheetSource name="SQL__cours_et_exercices__3"/>
  </cacheSource>
  <cacheFields count="1">
    <cacheField name="Titre sans location" numFmtId="0">
      <sharedItems count="42">
        <s v="ALICE FANTASIA"/>
        <s v="APOLLO TEEN"/>
        <s v="ARGONAUTS TOWN"/>
        <s v="ARK RIDGEMONT"/>
        <s v="ARSENIC INDEPENDENCE"/>
        <s v="BOONDOCK BALLROOM"/>
        <s v="BUTCH PANTHER"/>
        <s v="CATCH AMISTAD"/>
        <s v="CHINATOWN GLADIATOR"/>
        <s v="CHOCOLATE DUCK"/>
        <s v="COMMANDMENTS EXPRESS"/>
        <s v="CROSSING DIVORCE"/>
        <s v="CROWDS TELEMARK"/>
        <s v="CRYSTAL BREAKING"/>
        <s v="DAZED PUNK"/>
        <s v="DELIVERANCE MULHOLLAND"/>
        <s v="FIREHOUSE VIETNAM"/>
        <s v="FLOATS GARDEN"/>
        <s v="FRANKENSTEIN STRANGER"/>
        <s v="GLADIATOR WESTWARD"/>
        <s v="GUMP DATE"/>
        <s v="HATE HANDICAP"/>
        <s v="HOCUS FRIDA"/>
        <s v="KENTUCKIAN GIANT"/>
        <s v="KILL BROTHERHOOD"/>
        <s v="MUPPET MILE"/>
        <s v="ORDER BETRAYED"/>
        <s v="PEARL DESTINY"/>
        <s v="PERDITION FARGO"/>
        <s v="PSYCHO SHRUNK"/>
        <s v="RAIDERS ANTITRUST"/>
        <s v="RAINBOW SHOCK"/>
        <s v="ROOF CHAMPION"/>
        <s v="SISTER FREDDY"/>
        <s v="SKY MIRACLE"/>
        <s v="SUICIDES SILENCE"/>
        <s v="TADPOLE PARK"/>
        <s v="TREASURE COMMAND"/>
        <s v="VILLAIN DESPERATE"/>
        <s v="VOLUME HOUSE"/>
        <s v="WAKE JAWS"/>
        <s v="WALLS ARTIST"/>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38.58577719907" createdVersion="8" refreshedVersion="8" minRefreshableVersion="3" recordCount="7" xr:uid="{C3D1826F-21E4-4499-92A0-57B5DD58A3AA}">
  <cacheSource type="worksheet">
    <worksheetSource name="SQL__cours_et_exercices__7"/>
  </cacheSource>
  <cacheFields count="2">
    <cacheField name="jour_semaine" numFmtId="0">
      <sharedItems count="7">
        <s v="Dimanche"/>
        <s v="Lundi"/>
        <s v="Mardi"/>
        <s v="Mercredi"/>
        <s v="Jeudi"/>
        <s v="Vendredi"/>
        <s v="Samedi"/>
      </sharedItems>
    </cacheField>
    <cacheField name="nb_locations" numFmtId="0">
      <sharedItems containsSemiMixedTypes="0" containsString="0" containsNumber="1" containsInteger="1" minValue="2200" maxValue="246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38.586060416666" createdVersion="8" refreshedVersion="8" minRefreshableVersion="3" recordCount="4" xr:uid="{33CA6D71-673E-4A76-9DA6-B6D424FB2C5D}">
  <cacheSource type="worksheet">
    <worksheetSource name="SQL__cours_et_exercices__8"/>
  </cacheSource>
  <cacheFields count="2">
    <cacheField name="periode_journee" numFmtId="0">
      <sharedItems count="4">
        <s v="Après-midi (12h-17h)"/>
        <s v="Matin (6h-11h)"/>
        <s v="Nuit (23h-6h)"/>
        <s v="Soir (18h-23h)"/>
      </sharedItems>
    </cacheField>
    <cacheField name="nb_locations" numFmtId="0">
      <sharedItems containsSemiMixedTypes="0" containsString="0" containsNumber="1" containsInteger="1" minValue="3945" maxValue="41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n v="64"/>
  </r>
  <r>
    <x v="1"/>
    <n v="66"/>
  </r>
  <r>
    <x v="2"/>
    <n v="60"/>
  </r>
  <r>
    <x v="3"/>
    <n v="57"/>
  </r>
  <r>
    <x v="4"/>
    <n v="58"/>
  </r>
  <r>
    <x v="5"/>
    <n v="68"/>
  </r>
  <r>
    <x v="6"/>
    <n v="62"/>
  </r>
  <r>
    <x v="7"/>
    <n v="69"/>
  </r>
  <r>
    <x v="8"/>
    <n v="73"/>
  </r>
  <r>
    <x v="9"/>
    <n v="61"/>
  </r>
  <r>
    <x v="10"/>
    <n v="56"/>
  </r>
  <r>
    <x v="11"/>
    <n v="51"/>
  </r>
  <r>
    <x v="12"/>
    <n v="63"/>
  </r>
  <r>
    <x v="13"/>
    <n v="61"/>
  </r>
  <r>
    <x v="14"/>
    <n v="74"/>
  </r>
  <r>
    <x v="15"/>
    <n v="5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2320"/>
  </r>
  <r>
    <x v="1"/>
    <n v="2247"/>
  </r>
  <r>
    <x v="2"/>
    <n v="2463"/>
  </r>
  <r>
    <x v="3"/>
    <n v="2231"/>
  </r>
  <r>
    <x v="4"/>
    <n v="2200"/>
  </r>
  <r>
    <x v="5"/>
    <n v="2272"/>
  </r>
  <r>
    <x v="6"/>
    <n v="23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4115"/>
  </r>
  <r>
    <x v="1"/>
    <n v="3998"/>
  </r>
  <r>
    <x v="2"/>
    <n v="3986"/>
  </r>
  <r>
    <x v="3"/>
    <n v="39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541FB9-B22D-4ABA-93FD-E1A2B328BAFA}" name="Tableau croisé dynamique2" cacheId="28"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N7:N50" firstHeaderRow="1" firstDataRow="1" firstDataCol="1"/>
  <pivotFields count="1">
    <pivotField axis="axisRow" compact="0" outline="0" showAll="0">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s>
  <rowFields count="1">
    <field x="0"/>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0427A0-A7A8-4FB8-A6DC-96421EA62271}" name="Tableau croisé dynamique1" cacheId="27"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B16:C33" firstHeaderRow="1" firstDataRow="1" firstDataCol="1"/>
  <pivotFields count="2">
    <pivotField axis="axisRow" compact="0" outline="0" showAll="0">
      <items count="17">
        <item x="0"/>
        <item x="1"/>
        <item x="2"/>
        <item x="3"/>
        <item x="4"/>
        <item x="5"/>
        <item x="6"/>
        <item x="7"/>
        <item x="8"/>
        <item x="9"/>
        <item x="10"/>
        <item x="11"/>
        <item x="12"/>
        <item x="13"/>
        <item x="14"/>
        <item x="15"/>
        <item t="default"/>
      </items>
    </pivotField>
    <pivotField dataField="1" compact="0" outline="0" showAll="0"/>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 Nombre de films" fld="1"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860E75-3F7C-4F4A-B5CD-7AFC5BD71F0F}" name="Tableau croisé dynamique3" cacheId="29"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B8:C16" firstHeaderRow="1" firstDataRow="1" firstDataCol="1"/>
  <pivotFields count="2">
    <pivotField axis="axisRow" compact="0" outline="0" showAll="0">
      <items count="8">
        <item x="0"/>
        <item x="4"/>
        <item x="1"/>
        <item x="2"/>
        <item x="3"/>
        <item x="6"/>
        <item x="5"/>
        <item t="default"/>
      </items>
    </pivotField>
    <pivotField dataField="1" compact="0" outline="0" showAll="0"/>
  </pivotFields>
  <rowFields count="1">
    <field x="0"/>
  </rowFields>
  <rowItems count="8">
    <i>
      <x/>
    </i>
    <i>
      <x v="1"/>
    </i>
    <i>
      <x v="2"/>
    </i>
    <i>
      <x v="3"/>
    </i>
    <i>
      <x v="4"/>
    </i>
    <i>
      <x v="5"/>
    </i>
    <i>
      <x v="6"/>
    </i>
    <i t="grand">
      <x/>
    </i>
  </rowItems>
  <colItems count="1">
    <i/>
  </colItems>
  <dataFields count="1">
    <dataField name="Somme de nb_locations" fld="1"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FB7CD7-1653-43B1-BF64-D2EC8A474401}" name="Tableau croisé dynamique4" cacheId="30"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B20:C25" firstHeaderRow="1" firstDataRow="1" firstDataCol="1"/>
  <pivotFields count="2">
    <pivotField axis="axisRow" compact="0" outline="0" showAll="0">
      <items count="5">
        <item x="0"/>
        <item x="1"/>
        <item x="2"/>
        <item x="3"/>
        <item t="default"/>
      </items>
    </pivotField>
    <pivotField dataField="1" compact="0" outline="0" showAll="0"/>
  </pivotFields>
  <rowFields count="1">
    <field x="0"/>
  </rowFields>
  <rowItems count="5">
    <i>
      <x/>
    </i>
    <i>
      <x v="1"/>
    </i>
    <i>
      <x v="2"/>
    </i>
    <i>
      <x v="3"/>
    </i>
    <i t="grand">
      <x/>
    </i>
  </rowItems>
  <colItems count="1">
    <i/>
  </colItems>
  <dataFields count="1">
    <dataField name="Somme de nb_locations" fld="1" baseField="0" baseItem="0"/>
  </dataFields>
  <chartFormats count="5">
    <chartFormat chart="0" format="4"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0" count="1" selected="0">
            <x v="0"/>
          </reference>
        </references>
      </pivotArea>
    </chartFormat>
    <chartFormat chart="0" format="6">
      <pivotArea type="data" outline="0" fieldPosition="0">
        <references count="2">
          <reference field="4294967294" count="1" selected="0">
            <x v="0"/>
          </reference>
          <reference field="0" count="1" selected="0">
            <x v="1"/>
          </reference>
        </references>
      </pivotArea>
    </chartFormat>
    <chartFormat chart="0" format="7">
      <pivotArea type="data" outline="0" fieldPosition="0">
        <references count="2">
          <reference field="4294967294" count="1" selected="0">
            <x v="0"/>
          </reference>
          <reference field="0" count="1" selected="0">
            <x v="2"/>
          </reference>
        </references>
      </pivotArea>
    </chartFormat>
    <chartFormat chart="0" format="8">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 xr16:uid="{5C99FF5B-D5BC-4DA2-8AFC-80866AD63F63}" autoFormatId="16" applyNumberFormats="0" applyBorderFormats="0" applyFontFormats="0" applyPatternFormats="0" applyAlignmentFormats="0" applyWidthHeightFormats="0">
  <queryTableRefresh nextId="3">
    <queryTableFields count="2">
      <queryTableField id="1" name="categorie" tableColumnId="1"/>
      <queryTableField id="2" name="Nombre de films"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2" connectionId="8" xr16:uid="{038042AB-C991-4ED6-ADAD-9F05F40FA829}" autoFormatId="16" applyNumberFormats="0" applyBorderFormats="0" applyFontFormats="0" applyPatternFormats="0" applyAlignmentFormats="0" applyWidthHeightFormats="0">
  <queryTableRefresh nextId="2">
    <queryTableFields count="1">
      <queryTableField id="1" name="nb_location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3" connectionId="9" xr16:uid="{E37EF8F8-11F3-42CD-9594-B9308B30CA5D}"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4" connectionId="11" xr16:uid="{E4338454-FFA4-4EA0-8E21-DEEE86B49421}" autoFormatId="16" applyNumberFormats="0" applyBorderFormats="0" applyFontFormats="0" applyPatternFormats="0" applyAlignmentFormats="0" applyWidthHeightFormats="0">
  <queryTableRefresh nextId="7">
    <queryTableFields count="6">
      <queryTableField id="1" name="customer_id" tableColumnId="1"/>
      <queryTableField id="2" name="first_name" tableColumnId="2"/>
      <queryTableField id="3" name="last_name" tableColumnId="3"/>
      <queryTableField id="4" name="nombre_locations" tableColumnId="4"/>
      <queryTableField id="5" name="montant_total_depense" tableColumnId="5"/>
      <queryTableField id="6" name="date_premiere_location"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connectionId="13" xr16:uid="{030110E3-8C39-4CB2-BCE5-B1C51A9DBE11}" autoFormatId="16" applyNumberFormats="0" applyBorderFormats="0" applyFontFormats="0" applyPatternFormats="0" applyAlignmentFormats="0" applyWidthHeightFormats="0">
  <queryTableRefresh nextId="3">
    <queryTableFields count="2">
      <queryTableField id="1" name="jour_semaine" tableColumnId="1"/>
      <queryTableField id="2" name="nb_location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connectionId="14" xr16:uid="{4FA8D37D-FC5A-4BF5-B83C-AB1AAB81640E}" autoFormatId="16" applyNumberFormats="0" applyBorderFormats="0" applyFontFormats="0" applyPatternFormats="0" applyAlignmentFormats="0" applyWidthHeightFormats="0">
  <queryTableRefresh nextId="3">
    <queryTableFields count="2">
      <queryTableField id="1" name="periode_journee" tableColumnId="1"/>
      <queryTableField id="2" name="nb_location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connectionId="1" xr16:uid="{F07211E8-A06D-4376-9879-0E1E97B1D1D6}"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connectionId="15" xr16:uid="{1E7E6CDA-2EFD-48E8-B491-5FD4A77D1C1B}"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connectionId="5" xr16:uid="{31A448AF-3457-4DCC-B5C9-CF5E66C28D11}"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8" connectionId="16" xr16:uid="{E531BE51-0B1C-41CF-ABF1-1549153CABAB}"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8" connectionId="17" xr16:uid="{26F548AD-A757-493B-857C-37B1ECBDF4D4}"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DBC61C-581D-4ED7-8CD5-96CB63D0FDBA}" name="SQL__cours_et_exercices" displayName="SQL__cours_et_exercices" ref="D3:E19" tableType="queryTable" totalsRowShown="0">
  <autoFilter ref="D3:E19" xr:uid="{96DBC61C-581D-4ED7-8CD5-96CB63D0FDBA}"/>
  <tableColumns count="2">
    <tableColumn id="1" xr3:uid="{8B1CAB83-5023-42E7-8CBC-3220DCF4B6B6}" uniqueName="1" name="categorie" queryTableFieldId="1" dataDxfId="24"/>
    <tableColumn id="2" xr3:uid="{F51CB529-BF1F-40D9-8BEE-45003E9864F0}" uniqueName="2" name="Nombre de films"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DA10D7-0706-4A5D-AB87-0E2780603796}" name="SQL__cours_et_exercices__2" displayName="SQL__cours_et_exercices__2" ref="B3:B4" tableType="queryTable" totalsRowShown="0">
  <autoFilter ref="B3:B4" xr:uid="{44DA10D7-0706-4A5D-AB87-0E2780603796}"/>
  <tableColumns count="1">
    <tableColumn id="1" xr3:uid="{9C4290E7-DA7E-44A1-915B-8256CC8FC22A}" uniqueName="1" name="nb_locations"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A43E31-E935-43C2-B1F3-23D9F424DE44}" name="SQL__cours_et_exercices__3" displayName="SQL__cours_et_exercices__3" ref="G3:G45" tableType="queryTable" totalsRowShown="0">
  <autoFilter ref="G3:G45" xr:uid="{94A43E31-E935-43C2-B1F3-23D9F424DE44}"/>
  <tableColumns count="1">
    <tableColumn id="1" xr3:uid="{A84DD008-DE64-4F5D-AB1A-FB24BBE10382}" uniqueName="1" name="Titre sans location" queryTableFieldId="1" dataDxf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1DF419A-E3B7-4490-963E-020D85A1892A}" name="SQL__cours_et_exercices__5" displayName="SQL__cours_et_exercices__5" ref="I3:N602" tableType="queryTable" totalsRowShown="0">
  <autoFilter ref="I3:N602" xr:uid="{21DF419A-E3B7-4490-963E-020D85A1892A}"/>
  <sortState xmlns:xlrd2="http://schemas.microsoft.com/office/spreadsheetml/2017/richdata2" ref="I4:N602">
    <sortCondition descending="1" ref="M3:M602"/>
  </sortState>
  <tableColumns count="6">
    <tableColumn id="1" xr3:uid="{F682DCA1-DFC4-4D04-8730-7ABED94E2189}" uniqueName="1" name="customer_id" queryTableFieldId="1"/>
    <tableColumn id="2" xr3:uid="{054798B7-1FA2-4E06-A9F2-86DB651756DB}" uniqueName="2" name="first_name" queryTableFieldId="2" dataDxfId="22"/>
    <tableColumn id="3" xr3:uid="{0CE41B48-EC77-476D-B948-D1AF5F88ADFE}" uniqueName="3" name="last_name" queryTableFieldId="3" dataDxfId="21"/>
    <tableColumn id="4" xr3:uid="{DF99F79F-907E-42EA-B932-5A189114AD01}" uniqueName="4" name="nombre_locations" queryTableFieldId="4"/>
    <tableColumn id="5" xr3:uid="{8A395F24-3260-4901-BCBE-640EFBBAA780}" uniqueName="5" name="montant_total_depense" queryTableFieldId="5" dataDxfId="20"/>
    <tableColumn id="6" xr3:uid="{C7A96E55-2265-42FC-8FF4-B60F041B71A5}" uniqueName="6" name="date_premiere_location" queryTableFieldId="6" dataDxf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6ED302-D8B8-43F3-B815-DE427142EF8D}" name="SQL__cours_et_exercices__7" displayName="SQL__cours_et_exercices__7" ref="P3:Q10" tableType="queryTable" totalsRowShown="0">
  <autoFilter ref="P3:Q10" xr:uid="{256ED302-D8B8-43F3-B815-DE427142EF8D}"/>
  <tableColumns count="2">
    <tableColumn id="1" xr3:uid="{303D7BB9-98ED-4237-BC4C-F167083F52EA}" uniqueName="1" name="jour_semaine" queryTableFieldId="1" dataDxfId="18"/>
    <tableColumn id="2" xr3:uid="{F1C29232-0450-4D75-8A3C-8284B6B3B9D9}" uniqueName="2" name="nb_locations"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168F5B8-1FC3-4DA1-8CEC-C9273F277F08}" name="SQL__cours_et_exercices__8" displayName="SQL__cours_et_exercices__8" ref="S3:T7" tableType="queryTable" totalsRowShown="0">
  <autoFilter ref="S3:T7" xr:uid="{F168F5B8-1FC3-4DA1-8CEC-C9273F277F08}"/>
  <tableColumns count="2">
    <tableColumn id="1" xr3:uid="{09744380-1607-47A9-9531-B29690517024}" uniqueName="1" name="periode_journee" queryTableFieldId="1" dataDxfId="17"/>
    <tableColumn id="2" xr3:uid="{F75A7B38-7842-43B2-8622-251A90E7EE7A}" uniqueName="2" name="nb_location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9C6AAA-3BB7-42DD-81C3-98CCDA75226A}" name="SQL__cours_et_exercices_2" displayName="SQL__cours_et_exercices_2" ref="V3:X31" tableType="queryTable" totalsRowShown="0">
  <autoFilter ref="V3:X31" xr:uid="{B29C6AAA-3BB7-42DD-81C3-98CCDA75226A}"/>
  <sortState xmlns:xlrd2="http://schemas.microsoft.com/office/spreadsheetml/2017/richdata2" ref="V4:X31">
    <sortCondition descending="1" ref="X3:X31"/>
  </sortState>
  <tableColumns count="3">
    <tableColumn id="1" xr3:uid="{C2924DC9-A83E-4821-B79B-16B7630C51C8}" uniqueName="1" name="jour_semaine" queryTableFieldId="1" dataDxfId="16"/>
    <tableColumn id="2" xr3:uid="{AF52F505-B2D6-4543-9CD0-132CFBF85C64}" uniqueName="2" name="periode_journee" queryTableFieldId="2" dataDxfId="15"/>
    <tableColumn id="3" xr3:uid="{487A3769-7E74-429D-894A-0C7E15C105CE}" uniqueName="3" name="nb_locations" queryTableFieldId="3" dataDxfId="1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ACE86FA-AAE2-4E4A-B1CD-DB82F22458A4}" name="SQL__cours_et_exercices__9" displayName="SQL__cours_et_exercices__9" ref="Z3:AA111" tableType="queryTable" totalsRowShown="0" headerRowDxfId="13">
  <autoFilter ref="Z3:AA111" xr:uid="{EACE86FA-AAE2-4E4A-B1CD-DB82F22458A4}"/>
  <tableColumns count="2">
    <tableColumn id="1" xr3:uid="{C4E9B0D6-B845-4A75-A6E0-B188E7090633}" uniqueName="1" name="Pays" queryTableFieldId="1" dataDxfId="12"/>
    <tableColumn id="2" xr3:uid="{6C404A4D-2E4B-4C26-863A-DD7BDAB8F832}" uniqueName="2" name="Nombre de locations par pays" queryTableFieldId="2" dataDxfId="1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C0EBC0-681D-4F2D-8F96-D60B053177A9}" name="SQL__cours_et_exercices__1013" displayName="SQL__cours_et_exercices__1013" ref="AC3:AE962" tableType="queryTable" totalsRowShown="0">
  <autoFilter ref="AC3:AE962" xr:uid="{62C0EBC0-681D-4F2D-8F96-D60B053177A9}"/>
  <tableColumns count="3">
    <tableColumn id="1" xr3:uid="{7248AA2F-F939-45FB-82B4-DBD9D365C03E}" uniqueName="1" name="Column1" queryTableFieldId="1" dataDxfId="10"/>
    <tableColumn id="2" xr3:uid="{C12D4FC6-0D3E-451D-9D3C-538F41B6ED69}" uniqueName="2" name="Column2" queryTableFieldId="2" dataDxfId="9"/>
    <tableColumn id="3" xr3:uid="{1F083CA6-9586-4F8F-9535-022280D55E93}" uniqueName="3" name="Column3" queryTableFieldId="3" dataDxf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3E09E6-3B32-45C3-B89F-C873B43E263D}" name="Tableau18" displayName="Tableau18" ref="I8:O607" totalsRowShown="0">
  <autoFilter ref="I8:O607" xr:uid="{053E09E6-3B32-45C3-B89F-C873B43E263D}"/>
  <tableColumns count="7">
    <tableColumn id="1" xr3:uid="{9F9B33DC-2A8D-446D-B90C-4EBA7622FEFB}" name="Numéro"/>
    <tableColumn id="2" xr3:uid="{C356C732-8C58-4994-96C0-1672D8DEA0E0}" name="customer_id"/>
    <tableColumn id="3" xr3:uid="{38A2218E-31EB-47EF-B06E-A76A427ED8E7}" name="first_name"/>
    <tableColumn id="4" xr3:uid="{1E42BD35-275C-4C4A-9A0D-07EE5183B464}" name="last_name"/>
    <tableColumn id="5" xr3:uid="{69BCFEB1-E59D-4FF0-B8DC-22BE2753F015}" name="nombre_locations"/>
    <tableColumn id="6" xr3:uid="{D73C5F26-55CC-497B-A495-99ACC11F16CB}" name="montant_total_depense"/>
    <tableColumn id="7" xr3:uid="{6BF56136-0A7F-4132-B690-EFA192785448}" name="date_premiere_location" dataDxfId="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B855CE9-06C4-4FC0-BEF4-757F6415901D}" name="Tableau15" displayName="Tableau15" ref="A8:G607" totalsRowShown="0">
  <autoFilter ref="A8:G607" xr:uid="{5B855CE9-06C4-4FC0-BEF4-757F6415901D}"/>
  <tableColumns count="7">
    <tableColumn id="1" xr3:uid="{E97F9667-7C67-4B3C-A112-51AC76DE055B}" name="Numéro"/>
    <tableColumn id="2" xr3:uid="{49F02942-8E97-42CB-8D20-DF025178147A}" name="customer_id"/>
    <tableColumn id="3" xr3:uid="{4C7A253F-33D4-4FD4-BE35-628950396B0C}" name="first_name"/>
    <tableColumn id="4" xr3:uid="{363B318B-D239-4F5B-A4E7-4EB3E45E68D8}" name="last_name"/>
    <tableColumn id="5" xr3:uid="{386EB9D9-3D46-4D21-BB95-011AA60BEE34}" name="nombre_locations"/>
    <tableColumn id="6" xr3:uid="{313D7937-B7E5-4819-99F0-29F48F5D75D6}" name="montant_total_depense"/>
    <tableColumn id="7" xr3:uid="{DC7BC033-DC98-416B-82BD-D4BB219A06A7}" name="date_premiere_location"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4554B18-6204-4F2D-AF08-C1E3581B800B}" name="SQL__cours_et_exercices_26" displayName="SQL__cours_et_exercices_26" ref="Q7:S35" tableType="queryTable" totalsRowShown="0">
  <autoFilter ref="Q7:S35" xr:uid="{44554B18-6204-4F2D-AF08-C1E3581B800B}"/>
  <tableColumns count="3">
    <tableColumn id="1" xr3:uid="{9CACC0D1-566D-4327-8E0B-25F72F0ECFEC}" uniqueName="1" name="jour_semaine" queryTableFieldId="1" dataDxfId="7"/>
    <tableColumn id="2" xr3:uid="{5409D387-D52F-4E06-96F0-1607EFA16768}" uniqueName="2" name="periode_journee" queryTableFieldId="2" dataDxfId="6"/>
    <tableColumn id="3" xr3:uid="{0F35600F-526D-4711-BB99-EBAC7CC72520}" uniqueName="3" name="nb_locations" queryTableFieldId="3" dataDxf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38F2ED4-0D28-4F65-9F69-7241F2C1C66B}" name="SQL__cours_et_exercices_211" displayName="SQL__cours_et_exercices_211" ref="F12:H40" tableType="queryTable" totalsRowShown="0">
  <autoFilter ref="F12:H40" xr:uid="{B38F2ED4-0D28-4F65-9F69-7241F2C1C66B}"/>
  <sortState xmlns:xlrd2="http://schemas.microsoft.com/office/spreadsheetml/2017/richdata2" ref="F13:H40">
    <sortCondition descending="1" ref="H3:H31"/>
  </sortState>
  <tableColumns count="3">
    <tableColumn id="1" xr3:uid="{22B925C3-9EF8-42D7-BC6D-CD2DA8E841CC}" uniqueName="1" name="jour_semaine" queryTableFieldId="1" dataDxfId="4"/>
    <tableColumn id="2" xr3:uid="{56BB6F7D-72B3-4E95-B344-9EE39C6AA088}" uniqueName="2" name="periode_journee" queryTableFieldId="2" dataDxfId="3"/>
    <tableColumn id="3" xr3:uid="{0ECFBF67-9A0B-4C5E-B2D7-0E6E38570275}" uniqueName="3" name="nb_locations" queryTableFieldId="3" dataDxfId="2"/>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Bleu vert">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12.xml"/><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14A16-F317-4B26-92DB-C3C06EC75FD1}">
  <sheetPr codeName="Feuil1">
    <tabColor theme="4" tint="0.79998168889431442"/>
  </sheetPr>
  <dimension ref="A1:W37"/>
  <sheetViews>
    <sheetView workbookViewId="0">
      <selection activeCell="B13" sqref="B13"/>
    </sheetView>
  </sheetViews>
  <sheetFormatPr baseColWidth="10" defaultRowHeight="15" x14ac:dyDescent="0.25"/>
  <cols>
    <col min="1" max="1" width="14.7109375" bestFit="1" customWidth="1"/>
    <col min="2" max="2" width="255.7109375" bestFit="1" customWidth="1"/>
  </cols>
  <sheetData>
    <row r="1" spans="1:23" x14ac:dyDescent="0.25">
      <c r="A1" s="3"/>
      <c r="B1" s="3"/>
      <c r="C1" s="3"/>
      <c r="D1" s="3"/>
      <c r="E1" s="3"/>
      <c r="F1" s="3"/>
      <c r="G1" s="3"/>
      <c r="H1" s="3"/>
      <c r="I1" s="3"/>
      <c r="J1" s="3"/>
      <c r="K1" s="3"/>
      <c r="L1" s="3"/>
      <c r="M1" s="3"/>
      <c r="N1" s="3"/>
      <c r="O1" s="3"/>
      <c r="P1" s="3"/>
      <c r="Q1" s="3"/>
      <c r="R1" s="3"/>
      <c r="S1" s="3"/>
      <c r="T1" s="3"/>
      <c r="U1" s="3"/>
      <c r="V1" s="3"/>
      <c r="W1" s="3"/>
    </row>
    <row r="2" spans="1:23" x14ac:dyDescent="0.25">
      <c r="A2" s="24" t="s">
        <v>2750</v>
      </c>
      <c r="B2" s="24" t="s">
        <v>2751</v>
      </c>
      <c r="C2" s="3"/>
      <c r="D2" s="3"/>
      <c r="E2" s="3"/>
      <c r="F2" s="3"/>
      <c r="G2" s="3"/>
      <c r="H2" s="3"/>
      <c r="I2" s="3"/>
      <c r="J2" s="3"/>
      <c r="K2" s="3"/>
      <c r="L2" s="3"/>
      <c r="M2" s="3"/>
      <c r="N2" s="3"/>
      <c r="O2" s="3"/>
      <c r="P2" s="3"/>
      <c r="Q2" s="3"/>
      <c r="R2" s="3"/>
      <c r="S2" s="3"/>
      <c r="T2" s="3"/>
      <c r="U2" s="3"/>
      <c r="V2" s="3"/>
      <c r="W2" s="3"/>
    </row>
    <row r="3" spans="1:23" x14ac:dyDescent="0.25">
      <c r="A3" s="24" t="s">
        <v>2752</v>
      </c>
      <c r="B3" s="24" t="s">
        <v>2753</v>
      </c>
      <c r="C3" s="3"/>
      <c r="D3" s="3"/>
      <c r="E3" s="3"/>
      <c r="F3" s="3"/>
      <c r="G3" s="3"/>
      <c r="H3" s="3"/>
      <c r="I3" s="3"/>
      <c r="J3" s="3"/>
      <c r="K3" s="3"/>
      <c r="L3" s="3"/>
      <c r="M3" s="3"/>
      <c r="N3" s="3"/>
      <c r="O3" s="3"/>
      <c r="P3" s="3"/>
      <c r="Q3" s="3"/>
      <c r="R3" s="3"/>
      <c r="S3" s="3"/>
      <c r="T3" s="3"/>
      <c r="U3" s="3"/>
      <c r="V3" s="3"/>
      <c r="W3" s="3"/>
    </row>
    <row r="4" spans="1:23" x14ac:dyDescent="0.25">
      <c r="A4" s="24" t="s">
        <v>2754</v>
      </c>
      <c r="B4" s="24" t="s">
        <v>2755</v>
      </c>
      <c r="C4" s="3"/>
      <c r="D4" s="3"/>
      <c r="E4" s="3"/>
      <c r="F4" s="3"/>
      <c r="G4" s="3"/>
      <c r="H4" s="3"/>
      <c r="I4" s="3"/>
      <c r="J4" s="3"/>
      <c r="K4" s="3"/>
      <c r="L4" s="3"/>
      <c r="M4" s="3"/>
      <c r="N4" s="3"/>
      <c r="O4" s="3"/>
      <c r="P4" s="3"/>
      <c r="Q4" s="3"/>
      <c r="R4" s="3"/>
      <c r="S4" s="3"/>
      <c r="T4" s="3"/>
      <c r="U4" s="3"/>
      <c r="V4" s="3"/>
      <c r="W4" s="3"/>
    </row>
    <row r="5" spans="1:23" x14ac:dyDescent="0.25">
      <c r="A5" s="24" t="s">
        <v>2756</v>
      </c>
      <c r="B5" s="24" t="s">
        <v>2757</v>
      </c>
      <c r="C5" s="3"/>
      <c r="D5" s="3"/>
      <c r="E5" s="3"/>
      <c r="F5" s="3"/>
      <c r="G5" s="3"/>
      <c r="H5" s="3"/>
      <c r="I5" s="3"/>
      <c r="J5" s="3"/>
      <c r="K5" s="3"/>
      <c r="L5" s="3"/>
      <c r="M5" s="3"/>
      <c r="N5" s="3"/>
      <c r="O5" s="3"/>
      <c r="P5" s="3"/>
      <c r="Q5" s="3"/>
      <c r="R5" s="3"/>
      <c r="S5" s="3"/>
      <c r="T5" s="3"/>
      <c r="U5" s="3"/>
      <c r="V5" s="3"/>
      <c r="W5" s="3"/>
    </row>
    <row r="6" spans="1:23" ht="30" x14ac:dyDescent="0.25">
      <c r="A6" s="24" t="s">
        <v>2758</v>
      </c>
      <c r="B6" s="25" t="s">
        <v>2763</v>
      </c>
      <c r="C6" s="3"/>
      <c r="D6" s="3"/>
      <c r="E6" s="3"/>
      <c r="F6" s="3"/>
      <c r="G6" s="3"/>
      <c r="H6" s="3"/>
      <c r="I6" s="3"/>
      <c r="J6" s="3"/>
      <c r="K6" s="3"/>
      <c r="L6" s="3"/>
      <c r="M6" s="3"/>
      <c r="N6" s="3"/>
      <c r="O6" s="3"/>
      <c r="P6" s="3"/>
      <c r="Q6" s="3"/>
      <c r="R6" s="3"/>
      <c r="S6" s="3"/>
      <c r="T6" s="3"/>
      <c r="U6" s="3"/>
      <c r="V6" s="3"/>
      <c r="W6" s="3"/>
    </row>
    <row r="7" spans="1:23" x14ac:dyDescent="0.25">
      <c r="A7" s="24" t="s">
        <v>2759</v>
      </c>
      <c r="B7" s="24" t="s">
        <v>2757</v>
      </c>
      <c r="C7" s="3"/>
      <c r="D7" s="3"/>
      <c r="E7" s="3"/>
      <c r="F7" s="3"/>
      <c r="G7" s="3"/>
      <c r="H7" s="3"/>
      <c r="I7" s="3"/>
      <c r="J7" s="3"/>
      <c r="K7" s="3"/>
      <c r="L7" s="3"/>
      <c r="M7" s="3"/>
      <c r="N7" s="3"/>
      <c r="O7" s="3"/>
      <c r="P7" s="3"/>
      <c r="Q7" s="3"/>
      <c r="R7" s="3"/>
      <c r="S7" s="3"/>
      <c r="T7" s="3"/>
      <c r="U7" s="3"/>
      <c r="V7" s="3"/>
      <c r="W7" s="3"/>
    </row>
    <row r="8" spans="1:23" x14ac:dyDescent="0.25">
      <c r="A8" s="3" t="s">
        <v>2760</v>
      </c>
      <c r="B8" s="3" t="s">
        <v>2761</v>
      </c>
      <c r="C8" s="3"/>
      <c r="D8" s="3"/>
      <c r="E8" s="3"/>
      <c r="F8" s="3"/>
      <c r="G8" s="3"/>
      <c r="H8" s="3"/>
      <c r="I8" s="3"/>
      <c r="J8" s="3"/>
      <c r="K8" s="3"/>
      <c r="L8" s="3"/>
      <c r="M8" s="3"/>
      <c r="N8" s="3"/>
      <c r="O8" s="3"/>
      <c r="P8" s="3"/>
      <c r="Q8" s="3"/>
      <c r="R8" s="3"/>
      <c r="S8" s="3"/>
      <c r="T8" s="3"/>
      <c r="U8" s="3"/>
      <c r="V8" s="3"/>
      <c r="W8" s="3"/>
    </row>
    <row r="9" spans="1:23" x14ac:dyDescent="0.25">
      <c r="A9" s="3"/>
      <c r="B9" s="3"/>
      <c r="C9" s="3"/>
      <c r="D9" s="3"/>
      <c r="E9" s="3"/>
      <c r="F9" s="3"/>
      <c r="G9" s="3"/>
      <c r="H9" s="3"/>
      <c r="I9" s="3"/>
      <c r="J9" s="3"/>
      <c r="K9" s="3"/>
      <c r="L9" s="3"/>
      <c r="M9" s="3"/>
      <c r="N9" s="3"/>
      <c r="O9" s="3"/>
      <c r="P9" s="3"/>
      <c r="Q9" s="3"/>
      <c r="R9" s="3"/>
      <c r="S9" s="3"/>
      <c r="T9" s="3"/>
      <c r="U9" s="3"/>
      <c r="V9" s="3"/>
      <c r="W9" s="3"/>
    </row>
    <row r="10" spans="1:23" x14ac:dyDescent="0.25">
      <c r="A10" s="3"/>
      <c r="B10" s="3"/>
      <c r="C10" s="3"/>
      <c r="D10" s="3"/>
      <c r="E10" s="3"/>
      <c r="F10" s="3"/>
      <c r="G10" s="3"/>
      <c r="H10" s="3"/>
      <c r="I10" s="3"/>
      <c r="J10" s="3"/>
      <c r="K10" s="3"/>
      <c r="L10" s="3"/>
      <c r="M10" s="3"/>
      <c r="N10" s="3"/>
      <c r="O10" s="3"/>
      <c r="P10" s="3"/>
      <c r="Q10" s="3"/>
      <c r="R10" s="3"/>
      <c r="S10" s="3"/>
      <c r="T10" s="3"/>
      <c r="U10" s="3"/>
      <c r="V10" s="3"/>
      <c r="W10" s="3"/>
    </row>
    <row r="11" spans="1:23" x14ac:dyDescent="0.25">
      <c r="A11" s="3"/>
      <c r="B11" s="3"/>
      <c r="C11" s="3"/>
      <c r="D11" s="3"/>
      <c r="E11" s="3"/>
      <c r="F11" s="3"/>
      <c r="G11" s="3"/>
      <c r="H11" s="3"/>
      <c r="I11" s="3"/>
      <c r="J11" s="3"/>
      <c r="K11" s="3"/>
      <c r="L11" s="3"/>
      <c r="M11" s="3"/>
      <c r="N11" s="3"/>
      <c r="O11" s="3"/>
      <c r="P11" s="3"/>
      <c r="Q11" s="3"/>
      <c r="R11" s="3"/>
      <c r="S11" s="3"/>
      <c r="T11" s="3"/>
      <c r="U11" s="3"/>
      <c r="V11" s="3"/>
      <c r="W11" s="3"/>
    </row>
    <row r="12" spans="1:23" x14ac:dyDescent="0.25">
      <c r="A12" s="3"/>
      <c r="B12" s="3"/>
      <c r="C12" s="3"/>
      <c r="D12" s="3"/>
      <c r="E12" s="3"/>
      <c r="F12" s="3"/>
      <c r="G12" s="3"/>
      <c r="H12" s="3"/>
      <c r="I12" s="3"/>
      <c r="J12" s="3"/>
      <c r="K12" s="3"/>
      <c r="L12" s="3"/>
      <c r="M12" s="3"/>
      <c r="N12" s="3"/>
      <c r="O12" s="3"/>
      <c r="P12" s="3"/>
      <c r="Q12" s="3"/>
      <c r="R12" s="3"/>
      <c r="S12" s="3"/>
      <c r="T12" s="3"/>
      <c r="U12" s="3"/>
      <c r="V12" s="3"/>
      <c r="W12" s="3"/>
    </row>
    <row r="13" spans="1:23" x14ac:dyDescent="0.25">
      <c r="A13" s="3"/>
      <c r="B13" s="3"/>
      <c r="C13" s="3"/>
      <c r="D13" s="3"/>
      <c r="E13" s="3"/>
      <c r="F13" s="3"/>
      <c r="G13" s="3"/>
      <c r="H13" s="3"/>
      <c r="I13" s="3"/>
      <c r="J13" s="3"/>
      <c r="K13" s="3"/>
      <c r="L13" s="3"/>
      <c r="M13" s="3"/>
      <c r="N13" s="3"/>
      <c r="O13" s="3"/>
      <c r="P13" s="3"/>
      <c r="Q13" s="3"/>
      <c r="R13" s="3"/>
      <c r="S13" s="3"/>
      <c r="T13" s="3"/>
      <c r="U13" s="3"/>
      <c r="V13" s="3"/>
      <c r="W13" s="3"/>
    </row>
    <row r="14" spans="1:23" x14ac:dyDescent="0.25">
      <c r="A14" s="3"/>
      <c r="B14" s="3"/>
      <c r="C14" s="3"/>
      <c r="D14" s="3"/>
      <c r="E14" s="3"/>
      <c r="F14" s="3"/>
      <c r="G14" s="3"/>
      <c r="H14" s="3"/>
      <c r="I14" s="3"/>
      <c r="J14" s="3"/>
      <c r="K14" s="3"/>
      <c r="L14" s="3"/>
      <c r="M14" s="3"/>
      <c r="N14" s="3"/>
      <c r="O14" s="3"/>
      <c r="P14" s="3"/>
      <c r="Q14" s="3"/>
      <c r="R14" s="3"/>
      <c r="S14" s="3"/>
      <c r="T14" s="3"/>
      <c r="U14" s="3"/>
      <c r="V14" s="3"/>
      <c r="W14" s="3"/>
    </row>
    <row r="15" spans="1:23" x14ac:dyDescent="0.25">
      <c r="A15" s="3"/>
      <c r="B15" s="3"/>
      <c r="C15" s="3"/>
      <c r="D15" s="3"/>
      <c r="E15" s="3"/>
      <c r="F15" s="3"/>
      <c r="G15" s="3"/>
      <c r="H15" s="3"/>
      <c r="I15" s="3"/>
      <c r="J15" s="3"/>
      <c r="K15" s="3"/>
      <c r="L15" s="3"/>
      <c r="M15" s="3"/>
      <c r="N15" s="3"/>
      <c r="O15" s="3"/>
      <c r="P15" s="3"/>
      <c r="Q15" s="3"/>
      <c r="R15" s="3"/>
      <c r="S15" s="3"/>
      <c r="T15" s="3"/>
      <c r="U15" s="3"/>
      <c r="V15" s="3"/>
      <c r="W15" s="3"/>
    </row>
    <row r="16" spans="1:23" x14ac:dyDescent="0.25">
      <c r="A16" s="3"/>
      <c r="B16" s="3"/>
      <c r="C16" s="3"/>
      <c r="D16" s="3"/>
      <c r="E16" s="3"/>
      <c r="F16" s="3"/>
      <c r="G16" s="3"/>
      <c r="H16" s="3"/>
      <c r="I16" s="3"/>
      <c r="J16" s="3"/>
      <c r="K16" s="3"/>
      <c r="L16" s="3"/>
      <c r="M16" s="3"/>
      <c r="N16" s="3"/>
      <c r="O16" s="3"/>
      <c r="P16" s="3"/>
      <c r="Q16" s="3"/>
      <c r="R16" s="3"/>
      <c r="S16" s="3"/>
      <c r="T16" s="3"/>
      <c r="U16" s="3"/>
      <c r="V16" s="3"/>
      <c r="W16" s="3"/>
    </row>
    <row r="17" spans="1:23" x14ac:dyDescent="0.25">
      <c r="A17" s="3"/>
      <c r="B17" s="3"/>
      <c r="C17" s="3"/>
      <c r="D17" s="3"/>
      <c r="E17" s="3"/>
      <c r="F17" s="3"/>
      <c r="G17" s="3"/>
      <c r="H17" s="3"/>
      <c r="I17" s="3"/>
      <c r="J17" s="3"/>
      <c r="K17" s="3"/>
      <c r="L17" s="3"/>
      <c r="M17" s="3"/>
      <c r="N17" s="3"/>
      <c r="O17" s="3"/>
      <c r="P17" s="3"/>
      <c r="Q17" s="3"/>
      <c r="R17" s="3"/>
      <c r="S17" s="3"/>
      <c r="T17" s="3"/>
      <c r="U17" s="3"/>
      <c r="V17" s="3"/>
      <c r="W17" s="3"/>
    </row>
    <row r="18" spans="1:23" x14ac:dyDescent="0.25">
      <c r="A18" s="3"/>
      <c r="B18" s="3"/>
      <c r="C18" s="3"/>
      <c r="D18" s="3"/>
      <c r="E18" s="3"/>
      <c r="F18" s="3"/>
      <c r="G18" s="3"/>
      <c r="H18" s="3"/>
      <c r="I18" s="3"/>
      <c r="J18" s="3"/>
      <c r="K18" s="3"/>
      <c r="L18" s="3"/>
      <c r="M18" s="3"/>
      <c r="N18" s="3"/>
      <c r="O18" s="3"/>
      <c r="P18" s="3"/>
      <c r="Q18" s="3"/>
      <c r="R18" s="3"/>
      <c r="S18" s="3"/>
      <c r="T18" s="3"/>
      <c r="U18" s="3"/>
      <c r="V18" s="3"/>
      <c r="W18" s="3"/>
    </row>
    <row r="19" spans="1:23" x14ac:dyDescent="0.25">
      <c r="A19" s="3"/>
      <c r="B19" s="3"/>
      <c r="C19" s="3"/>
      <c r="D19" s="3"/>
      <c r="E19" s="3"/>
      <c r="F19" s="3"/>
      <c r="G19" s="3"/>
      <c r="H19" s="3"/>
      <c r="I19" s="3"/>
      <c r="J19" s="3"/>
      <c r="K19" s="3"/>
      <c r="L19" s="3"/>
      <c r="M19" s="3"/>
      <c r="N19" s="3"/>
      <c r="O19" s="3"/>
      <c r="P19" s="3"/>
      <c r="Q19" s="3"/>
      <c r="R19" s="3"/>
      <c r="S19" s="3"/>
      <c r="T19" s="3"/>
      <c r="U19" s="3"/>
      <c r="V19" s="3"/>
      <c r="W19" s="3"/>
    </row>
    <row r="20" spans="1:23" x14ac:dyDescent="0.25">
      <c r="A20" s="3"/>
      <c r="B20" s="3"/>
      <c r="C20" s="3"/>
      <c r="D20" s="3"/>
      <c r="E20" s="3"/>
      <c r="F20" s="3"/>
      <c r="G20" s="3"/>
      <c r="H20" s="3"/>
      <c r="I20" s="3"/>
      <c r="J20" s="3"/>
      <c r="K20" s="3"/>
      <c r="L20" s="3"/>
      <c r="M20" s="3"/>
      <c r="N20" s="3"/>
      <c r="O20" s="3"/>
      <c r="P20" s="3"/>
      <c r="Q20" s="3"/>
      <c r="R20" s="3"/>
      <c r="S20" s="3"/>
      <c r="T20" s="3"/>
      <c r="U20" s="3"/>
      <c r="V20" s="3"/>
      <c r="W20" s="3"/>
    </row>
    <row r="21" spans="1:23" x14ac:dyDescent="0.25">
      <c r="A21" s="3"/>
      <c r="B21" s="3"/>
      <c r="C21" s="3"/>
      <c r="D21" s="3"/>
      <c r="E21" s="3"/>
      <c r="F21" s="3"/>
      <c r="G21" s="3"/>
      <c r="H21" s="3"/>
      <c r="I21" s="3"/>
      <c r="J21" s="3"/>
      <c r="K21" s="3"/>
      <c r="L21" s="3"/>
      <c r="M21" s="3"/>
      <c r="N21" s="3"/>
      <c r="O21" s="3"/>
      <c r="P21" s="3"/>
      <c r="Q21" s="3"/>
      <c r="R21" s="3"/>
      <c r="S21" s="3"/>
      <c r="T21" s="3"/>
      <c r="U21" s="3"/>
      <c r="V21" s="3"/>
      <c r="W21" s="3"/>
    </row>
    <row r="22" spans="1:23" x14ac:dyDescent="0.25">
      <c r="A22" s="3"/>
      <c r="B22" s="3"/>
      <c r="C22" s="3"/>
      <c r="D22" s="3"/>
      <c r="E22" s="3"/>
      <c r="F22" s="3"/>
      <c r="G22" s="3"/>
      <c r="H22" s="3"/>
      <c r="I22" s="3"/>
      <c r="J22" s="3"/>
      <c r="K22" s="3"/>
      <c r="L22" s="3"/>
      <c r="M22" s="3"/>
      <c r="N22" s="3"/>
      <c r="O22" s="3"/>
      <c r="P22" s="3"/>
      <c r="Q22" s="3"/>
      <c r="R22" s="3"/>
      <c r="S22" s="3"/>
      <c r="T22" s="3"/>
      <c r="U22" s="3"/>
      <c r="V22" s="3"/>
      <c r="W22" s="3"/>
    </row>
    <row r="23" spans="1:23" x14ac:dyDescent="0.25">
      <c r="A23" s="3"/>
      <c r="B23" s="3"/>
      <c r="C23" s="3"/>
      <c r="D23" s="3"/>
      <c r="E23" s="3"/>
      <c r="F23" s="3"/>
      <c r="G23" s="3"/>
      <c r="H23" s="3"/>
      <c r="I23" s="3"/>
      <c r="J23" s="3"/>
      <c r="K23" s="3"/>
      <c r="L23" s="3"/>
      <c r="M23" s="3"/>
      <c r="N23" s="3"/>
      <c r="O23" s="3"/>
      <c r="P23" s="3"/>
      <c r="Q23" s="3"/>
      <c r="R23" s="3"/>
      <c r="S23" s="3"/>
      <c r="T23" s="3"/>
      <c r="U23" s="3"/>
      <c r="V23" s="3"/>
      <c r="W23" s="3"/>
    </row>
    <row r="24" spans="1:23" x14ac:dyDescent="0.25">
      <c r="A24" s="3"/>
      <c r="B24" s="3"/>
      <c r="C24" s="3"/>
      <c r="D24" s="3"/>
      <c r="E24" s="3"/>
      <c r="F24" s="3"/>
      <c r="G24" s="3"/>
      <c r="H24" s="3"/>
      <c r="I24" s="3"/>
      <c r="J24" s="3"/>
      <c r="K24" s="3"/>
      <c r="L24" s="3"/>
      <c r="M24" s="3"/>
      <c r="N24" s="3"/>
      <c r="O24" s="3"/>
      <c r="P24" s="3"/>
      <c r="Q24" s="3"/>
      <c r="R24" s="3"/>
      <c r="S24" s="3"/>
      <c r="T24" s="3"/>
      <c r="U24" s="3"/>
      <c r="V24" s="3"/>
      <c r="W24" s="3"/>
    </row>
    <row r="25" spans="1:23" x14ac:dyDescent="0.25">
      <c r="A25" s="3"/>
      <c r="B25" s="3"/>
      <c r="C25" s="3"/>
      <c r="D25" s="3"/>
      <c r="E25" s="3"/>
      <c r="F25" s="3"/>
      <c r="G25" s="3"/>
      <c r="H25" s="3"/>
      <c r="I25" s="3"/>
      <c r="J25" s="3"/>
      <c r="K25" s="3"/>
      <c r="L25" s="3"/>
      <c r="M25" s="3"/>
      <c r="N25" s="3"/>
      <c r="O25" s="3"/>
      <c r="P25" s="3"/>
      <c r="Q25" s="3"/>
      <c r="R25" s="3"/>
      <c r="S25" s="3"/>
      <c r="T25" s="3"/>
      <c r="U25" s="3"/>
      <c r="V25" s="3"/>
      <c r="W25" s="3"/>
    </row>
    <row r="26" spans="1:23" x14ac:dyDescent="0.25">
      <c r="A26" s="3"/>
      <c r="B26" s="3"/>
      <c r="C26" s="3"/>
      <c r="D26" s="3"/>
      <c r="E26" s="3"/>
      <c r="F26" s="3"/>
      <c r="G26" s="3"/>
      <c r="H26" s="3"/>
      <c r="I26" s="3"/>
      <c r="J26" s="3"/>
      <c r="K26" s="3"/>
      <c r="L26" s="3"/>
      <c r="M26" s="3"/>
      <c r="N26" s="3"/>
      <c r="O26" s="3"/>
      <c r="P26" s="3"/>
      <c r="Q26" s="3"/>
      <c r="R26" s="3"/>
      <c r="S26" s="3"/>
      <c r="T26" s="3"/>
      <c r="U26" s="3"/>
      <c r="V26" s="3"/>
      <c r="W26" s="3"/>
    </row>
    <row r="27" spans="1:23" x14ac:dyDescent="0.25">
      <c r="A27" s="3"/>
      <c r="B27" s="3"/>
      <c r="C27" s="3"/>
      <c r="D27" s="3"/>
      <c r="E27" s="3"/>
      <c r="F27" s="3"/>
      <c r="G27" s="3"/>
      <c r="H27" s="3"/>
      <c r="I27" s="3"/>
      <c r="J27" s="3"/>
      <c r="K27" s="3"/>
      <c r="L27" s="3"/>
      <c r="M27" s="3"/>
      <c r="N27" s="3"/>
      <c r="O27" s="3"/>
      <c r="P27" s="3"/>
      <c r="Q27" s="3"/>
      <c r="R27" s="3"/>
      <c r="S27" s="3"/>
      <c r="T27" s="3"/>
      <c r="U27" s="3"/>
      <c r="V27" s="3"/>
      <c r="W27" s="3"/>
    </row>
    <row r="28" spans="1:23" x14ac:dyDescent="0.25">
      <c r="A28" s="3"/>
      <c r="B28" s="3"/>
      <c r="C28" s="3"/>
      <c r="D28" s="3"/>
      <c r="E28" s="3"/>
      <c r="F28" s="3"/>
      <c r="G28" s="3"/>
      <c r="H28" s="3"/>
      <c r="I28" s="3"/>
      <c r="J28" s="3"/>
      <c r="K28" s="3"/>
      <c r="L28" s="3"/>
      <c r="M28" s="3"/>
      <c r="N28" s="3"/>
      <c r="O28" s="3"/>
      <c r="P28" s="3"/>
      <c r="Q28" s="3"/>
      <c r="R28" s="3"/>
      <c r="S28" s="3"/>
      <c r="T28" s="3"/>
      <c r="U28" s="3"/>
      <c r="V28" s="3"/>
      <c r="W28" s="3"/>
    </row>
    <row r="29" spans="1:23" x14ac:dyDescent="0.25">
      <c r="A29" s="3"/>
      <c r="B29" s="3"/>
      <c r="C29" s="3"/>
      <c r="D29" s="3"/>
      <c r="E29" s="3"/>
      <c r="F29" s="3"/>
      <c r="G29" s="3"/>
      <c r="H29" s="3"/>
      <c r="I29" s="3"/>
      <c r="J29" s="3"/>
      <c r="K29" s="3"/>
      <c r="L29" s="3"/>
      <c r="M29" s="3"/>
      <c r="N29" s="3"/>
      <c r="O29" s="3"/>
      <c r="P29" s="3"/>
      <c r="Q29" s="3"/>
      <c r="R29" s="3"/>
      <c r="S29" s="3"/>
      <c r="T29" s="3"/>
      <c r="U29" s="3"/>
      <c r="V29" s="3"/>
      <c r="W29" s="3"/>
    </row>
    <row r="30" spans="1:23" x14ac:dyDescent="0.25">
      <c r="A30" s="3"/>
      <c r="B30" s="3"/>
      <c r="C30" s="3"/>
      <c r="D30" s="3"/>
      <c r="E30" s="3"/>
      <c r="F30" s="3"/>
      <c r="G30" s="3"/>
      <c r="H30" s="3"/>
      <c r="I30" s="3"/>
      <c r="J30" s="3"/>
      <c r="K30" s="3"/>
      <c r="L30" s="3"/>
      <c r="M30" s="3"/>
      <c r="N30" s="3"/>
      <c r="O30" s="3"/>
      <c r="P30" s="3"/>
      <c r="Q30" s="3"/>
      <c r="R30" s="3"/>
      <c r="S30" s="3"/>
      <c r="T30" s="3"/>
      <c r="U30" s="3"/>
      <c r="V30" s="3"/>
      <c r="W30" s="3"/>
    </row>
    <row r="31" spans="1:23" x14ac:dyDescent="0.25">
      <c r="A31" s="3"/>
      <c r="B31" s="3"/>
      <c r="C31" s="3"/>
      <c r="D31" s="3"/>
      <c r="E31" s="3"/>
      <c r="F31" s="3"/>
      <c r="G31" s="3"/>
      <c r="H31" s="3"/>
      <c r="I31" s="3"/>
      <c r="J31" s="3"/>
      <c r="K31" s="3"/>
      <c r="L31" s="3"/>
      <c r="M31" s="3"/>
      <c r="N31" s="3"/>
      <c r="O31" s="3"/>
      <c r="P31" s="3"/>
      <c r="Q31" s="3"/>
      <c r="R31" s="3"/>
      <c r="S31" s="3"/>
      <c r="T31" s="3"/>
      <c r="U31" s="3"/>
      <c r="V31" s="3"/>
      <c r="W31" s="3"/>
    </row>
    <row r="32" spans="1:23" x14ac:dyDescent="0.25">
      <c r="A32" s="3"/>
      <c r="B32" s="3"/>
      <c r="C32" s="3"/>
      <c r="D32" s="3"/>
      <c r="E32" s="3"/>
      <c r="F32" s="3"/>
      <c r="G32" s="3"/>
      <c r="H32" s="3"/>
      <c r="I32" s="3"/>
      <c r="J32" s="3"/>
      <c r="K32" s="3"/>
      <c r="L32" s="3"/>
      <c r="M32" s="3"/>
      <c r="N32" s="3"/>
      <c r="O32" s="3"/>
      <c r="P32" s="3"/>
      <c r="Q32" s="3"/>
      <c r="R32" s="3"/>
      <c r="S32" s="3"/>
      <c r="T32" s="3"/>
      <c r="U32" s="3"/>
      <c r="V32" s="3"/>
      <c r="W32" s="3"/>
    </row>
    <row r="33" spans="1:23" x14ac:dyDescent="0.25">
      <c r="A33" s="3"/>
      <c r="B33" s="3"/>
      <c r="C33" s="3"/>
      <c r="D33" s="3"/>
      <c r="E33" s="3"/>
      <c r="F33" s="3"/>
      <c r="G33" s="3"/>
      <c r="H33" s="3"/>
      <c r="I33" s="3"/>
      <c r="J33" s="3"/>
      <c r="K33" s="3"/>
      <c r="L33" s="3"/>
      <c r="M33" s="3"/>
      <c r="N33" s="3"/>
      <c r="O33" s="3"/>
      <c r="P33" s="3"/>
      <c r="Q33" s="3"/>
      <c r="R33" s="3"/>
      <c r="S33" s="3"/>
      <c r="T33" s="3"/>
      <c r="U33" s="3"/>
      <c r="V33" s="3"/>
      <c r="W33" s="3"/>
    </row>
    <row r="34" spans="1:23" x14ac:dyDescent="0.25">
      <c r="A34" s="3"/>
      <c r="B34" s="3"/>
      <c r="C34" s="3"/>
      <c r="D34" s="3"/>
      <c r="E34" s="3"/>
      <c r="F34" s="3"/>
      <c r="G34" s="3"/>
      <c r="H34" s="3"/>
      <c r="I34" s="3"/>
      <c r="J34" s="3"/>
      <c r="K34" s="3"/>
      <c r="L34" s="3"/>
      <c r="M34" s="3"/>
      <c r="N34" s="3"/>
      <c r="O34" s="3"/>
      <c r="P34" s="3"/>
      <c r="Q34" s="3"/>
      <c r="R34" s="3"/>
      <c r="S34" s="3"/>
      <c r="T34" s="3"/>
      <c r="U34" s="3"/>
      <c r="V34" s="3"/>
      <c r="W34" s="3"/>
    </row>
    <row r="35" spans="1:23" x14ac:dyDescent="0.25">
      <c r="A35" s="3"/>
      <c r="B35" s="3"/>
      <c r="C35" s="3"/>
      <c r="D35" s="3"/>
      <c r="E35" s="3"/>
      <c r="F35" s="3"/>
      <c r="G35" s="3"/>
      <c r="H35" s="3"/>
      <c r="I35" s="3"/>
      <c r="J35" s="3"/>
      <c r="K35" s="3"/>
      <c r="L35" s="3"/>
      <c r="M35" s="3"/>
      <c r="N35" s="3"/>
      <c r="O35" s="3"/>
      <c r="P35" s="3"/>
      <c r="Q35" s="3"/>
      <c r="R35" s="3"/>
      <c r="S35" s="3"/>
      <c r="T35" s="3"/>
      <c r="U35" s="3"/>
      <c r="V35" s="3"/>
      <c r="W35" s="3"/>
    </row>
    <row r="36" spans="1:23" x14ac:dyDescent="0.25">
      <c r="A36" s="3"/>
      <c r="B36" s="3"/>
      <c r="C36" s="3"/>
      <c r="D36" s="3"/>
      <c r="E36" s="3"/>
      <c r="F36" s="3"/>
      <c r="G36" s="3"/>
      <c r="H36" s="3"/>
      <c r="I36" s="3"/>
      <c r="J36" s="3"/>
      <c r="K36" s="3"/>
      <c r="L36" s="3"/>
      <c r="M36" s="3"/>
      <c r="N36" s="3"/>
      <c r="O36" s="3"/>
      <c r="P36" s="3"/>
      <c r="Q36" s="3"/>
      <c r="R36" s="3"/>
      <c r="S36" s="3"/>
      <c r="T36" s="3"/>
      <c r="U36" s="3"/>
      <c r="V36" s="3"/>
      <c r="W36" s="3"/>
    </row>
    <row r="37" spans="1:23" x14ac:dyDescent="0.25">
      <c r="A37" s="3"/>
      <c r="B37" s="3"/>
      <c r="C37" s="3"/>
      <c r="D37" s="3"/>
      <c r="E37" s="3"/>
      <c r="F37" s="3"/>
      <c r="G37" s="3"/>
      <c r="H37" s="3"/>
      <c r="I37" s="3"/>
      <c r="J37" s="3"/>
      <c r="K37" s="3"/>
      <c r="L37" s="3"/>
      <c r="M37" s="3"/>
      <c r="N37" s="3"/>
      <c r="O37" s="3"/>
      <c r="P37" s="3"/>
      <c r="Q37" s="3"/>
      <c r="R37" s="3"/>
      <c r="S37" s="3"/>
      <c r="T37" s="3"/>
      <c r="U37" s="3"/>
      <c r="V37" s="3"/>
      <c r="W37"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749F-0F88-4579-907E-DF802F1DAD5D}">
  <sheetPr codeName="Feuil2"/>
  <dimension ref="B3:AE962"/>
  <sheetViews>
    <sheetView topLeftCell="D1" workbookViewId="0">
      <selection activeCell="I3" sqref="I3:N602"/>
    </sheetView>
  </sheetViews>
  <sheetFormatPr baseColWidth="10" defaultColWidth="11.42578125" defaultRowHeight="15" x14ac:dyDescent="0.25"/>
  <cols>
    <col min="1" max="1" width="12.85546875" bestFit="1" customWidth="1"/>
    <col min="2" max="2" width="18.140625" bestFit="1" customWidth="1"/>
    <col min="4" max="4" width="12.85546875" bestFit="1" customWidth="1"/>
    <col min="5" max="5" width="18.140625" bestFit="1" customWidth="1"/>
    <col min="7" max="7" width="26" bestFit="1" customWidth="1"/>
    <col min="9" max="9" width="14.28515625" bestFit="1" customWidth="1"/>
    <col min="10" max="10" width="13.140625" bestFit="1" customWidth="1"/>
    <col min="11" max="11" width="16.140625" bestFit="1" customWidth="1"/>
    <col min="12" max="12" width="19.42578125" bestFit="1" customWidth="1"/>
    <col min="13" max="13" width="25" style="12" bestFit="1" customWidth="1"/>
    <col min="14" max="14" width="25" bestFit="1" customWidth="1"/>
    <col min="15" max="15" width="11.28515625" customWidth="1"/>
    <col min="16" max="16" width="15.42578125" bestFit="1" customWidth="1"/>
    <col min="17" max="17" width="14.42578125" bestFit="1" customWidth="1"/>
    <col min="19" max="19" width="19.85546875" bestFit="1" customWidth="1"/>
    <col min="20" max="20" width="14.42578125" bestFit="1" customWidth="1"/>
    <col min="26" max="26" width="35.7109375" bestFit="1" customWidth="1"/>
    <col min="27" max="27" width="29.85546875" bestFit="1" customWidth="1"/>
  </cols>
  <sheetData>
    <row r="3" spans="2:31" x14ac:dyDescent="0.25">
      <c r="B3" t="s">
        <v>0</v>
      </c>
      <c r="D3" t="s">
        <v>1</v>
      </c>
      <c r="E3" t="s">
        <v>2</v>
      </c>
      <c r="G3" t="s">
        <v>3</v>
      </c>
      <c r="I3" t="s">
        <v>4</v>
      </c>
      <c r="J3" t="s">
        <v>5</v>
      </c>
      <c r="K3" t="s">
        <v>6</v>
      </c>
      <c r="L3" t="s">
        <v>7</v>
      </c>
      <c r="M3" s="12" t="s">
        <v>8</v>
      </c>
      <c r="N3" t="s">
        <v>9</v>
      </c>
      <c r="P3" t="s">
        <v>10</v>
      </c>
      <c r="Q3" t="s">
        <v>0</v>
      </c>
      <c r="S3" t="s">
        <v>11</v>
      </c>
      <c r="T3" t="s">
        <v>0</v>
      </c>
      <c r="V3" s="11" t="s">
        <v>10</v>
      </c>
      <c r="W3" s="11" t="s">
        <v>11</v>
      </c>
      <c r="X3" s="11" t="s">
        <v>0</v>
      </c>
      <c r="Z3" s="11" t="s">
        <v>1259</v>
      </c>
      <c r="AA3" s="11" t="s">
        <v>1260</v>
      </c>
      <c r="AC3" t="s">
        <v>1229</v>
      </c>
      <c r="AD3" t="s">
        <v>1230</v>
      </c>
      <c r="AE3" t="s">
        <v>1231</v>
      </c>
    </row>
    <row r="4" spans="2:31" x14ac:dyDescent="0.25">
      <c r="B4">
        <v>16044</v>
      </c>
      <c r="D4" t="s">
        <v>12</v>
      </c>
      <c r="E4">
        <v>64</v>
      </c>
      <c r="G4" t="s">
        <v>13</v>
      </c>
      <c r="I4">
        <v>526</v>
      </c>
      <c r="J4" t="s">
        <v>20</v>
      </c>
      <c r="K4" t="s">
        <v>21</v>
      </c>
      <c r="L4">
        <v>45</v>
      </c>
      <c r="M4" s="12">
        <v>221.55</v>
      </c>
      <c r="N4" s="2">
        <v>38500.028333333335</v>
      </c>
      <c r="O4" s="12"/>
      <c r="P4" t="s">
        <v>16</v>
      </c>
      <c r="Q4">
        <v>2320</v>
      </c>
      <c r="S4" t="s">
        <v>17</v>
      </c>
      <c r="T4">
        <v>4115</v>
      </c>
      <c r="V4" s="11" t="s">
        <v>28</v>
      </c>
      <c r="W4" s="11" t="s">
        <v>1232</v>
      </c>
      <c r="X4" s="11" t="s">
        <v>1246</v>
      </c>
      <c r="Z4" s="11" t="s">
        <v>1261</v>
      </c>
      <c r="AA4" s="11" t="s">
        <v>1262</v>
      </c>
      <c r="AC4" s="11" t="s">
        <v>1437</v>
      </c>
      <c r="AD4" s="11" t="s">
        <v>1438</v>
      </c>
      <c r="AE4" s="11" t="s">
        <v>1439</v>
      </c>
    </row>
    <row r="5" spans="2:31" x14ac:dyDescent="0.25">
      <c r="D5" t="s">
        <v>18</v>
      </c>
      <c r="E5">
        <v>66</v>
      </c>
      <c r="G5" t="s">
        <v>19</v>
      </c>
      <c r="I5">
        <v>148</v>
      </c>
      <c r="J5" t="s">
        <v>14</v>
      </c>
      <c r="K5" t="s">
        <v>15</v>
      </c>
      <c r="L5">
        <v>46</v>
      </c>
      <c r="M5" s="12">
        <v>216.54</v>
      </c>
      <c r="N5" s="2">
        <v>38500.995347222219</v>
      </c>
      <c r="O5" s="12"/>
      <c r="P5" t="s">
        <v>22</v>
      </c>
      <c r="Q5">
        <v>2247</v>
      </c>
      <c r="S5" t="s">
        <v>23</v>
      </c>
      <c r="T5">
        <v>3998</v>
      </c>
      <c r="V5" s="11" t="s">
        <v>45</v>
      </c>
      <c r="W5" s="11" t="s">
        <v>1234</v>
      </c>
      <c r="X5" s="11" t="s">
        <v>1256</v>
      </c>
      <c r="Z5" s="11" t="s">
        <v>1263</v>
      </c>
      <c r="AA5" s="11" t="s">
        <v>1264</v>
      </c>
      <c r="AC5" s="11" t="s">
        <v>1440</v>
      </c>
      <c r="AD5" s="11" t="s">
        <v>1426</v>
      </c>
      <c r="AE5" s="11" t="s">
        <v>1441</v>
      </c>
    </row>
    <row r="6" spans="2:31" x14ac:dyDescent="0.25">
      <c r="D6" t="s">
        <v>24</v>
      </c>
      <c r="E6">
        <v>60</v>
      </c>
      <c r="G6" t="s">
        <v>25</v>
      </c>
      <c r="I6">
        <v>144</v>
      </c>
      <c r="J6" t="s">
        <v>26</v>
      </c>
      <c r="K6" t="s">
        <v>27</v>
      </c>
      <c r="L6">
        <v>42</v>
      </c>
      <c r="M6" s="12">
        <v>195.58</v>
      </c>
      <c r="N6" s="2">
        <v>38499.03434027778</v>
      </c>
      <c r="O6" s="12"/>
      <c r="P6" t="s">
        <v>28</v>
      </c>
      <c r="Q6">
        <v>2463</v>
      </c>
      <c r="S6" t="s">
        <v>29</v>
      </c>
      <c r="T6">
        <v>3986</v>
      </c>
      <c r="V6" s="11" t="s">
        <v>28</v>
      </c>
      <c r="W6" s="11" t="s">
        <v>1235</v>
      </c>
      <c r="X6" s="11" t="s">
        <v>1248</v>
      </c>
      <c r="Z6" s="11" t="s">
        <v>1265</v>
      </c>
      <c r="AA6" s="11" t="s">
        <v>1266</v>
      </c>
      <c r="AC6" s="11" t="s">
        <v>1442</v>
      </c>
      <c r="AD6" s="11" t="s">
        <v>1443</v>
      </c>
      <c r="AE6" s="11" t="s">
        <v>1444</v>
      </c>
    </row>
    <row r="7" spans="2:31" x14ac:dyDescent="0.25">
      <c r="D7" t="s">
        <v>30</v>
      </c>
      <c r="E7">
        <v>57</v>
      </c>
      <c r="G7" t="s">
        <v>31</v>
      </c>
      <c r="I7">
        <v>137</v>
      </c>
      <c r="J7" t="s">
        <v>53</v>
      </c>
      <c r="K7" t="s">
        <v>54</v>
      </c>
      <c r="L7">
        <v>39</v>
      </c>
      <c r="M7" s="12">
        <v>194.61</v>
      </c>
      <c r="N7" s="2">
        <v>38502.509629629632</v>
      </c>
      <c r="O7" s="12"/>
      <c r="P7" t="s">
        <v>34</v>
      </c>
      <c r="Q7">
        <v>2231</v>
      </c>
      <c r="S7" t="s">
        <v>35</v>
      </c>
      <c r="T7">
        <v>3945</v>
      </c>
      <c r="V7" s="11" t="s">
        <v>50</v>
      </c>
      <c r="W7" s="11" t="s">
        <v>1232</v>
      </c>
      <c r="X7" s="11" t="s">
        <v>1252</v>
      </c>
      <c r="Z7" s="11" t="s">
        <v>1267</v>
      </c>
      <c r="AA7" s="11" t="s">
        <v>1268</v>
      </c>
      <c r="AC7" s="11" t="s">
        <v>1445</v>
      </c>
      <c r="AD7" s="11" t="s">
        <v>1446</v>
      </c>
      <c r="AE7" s="11" t="s">
        <v>1447</v>
      </c>
    </row>
    <row r="8" spans="2:31" x14ac:dyDescent="0.25">
      <c r="D8" t="s">
        <v>36</v>
      </c>
      <c r="E8">
        <v>58</v>
      </c>
      <c r="G8" t="s">
        <v>37</v>
      </c>
      <c r="I8">
        <v>178</v>
      </c>
      <c r="J8" t="s">
        <v>57</v>
      </c>
      <c r="K8" t="s">
        <v>58</v>
      </c>
      <c r="L8">
        <v>39</v>
      </c>
      <c r="M8" s="12">
        <v>194.61</v>
      </c>
      <c r="N8" s="2">
        <v>38518.377685185187</v>
      </c>
      <c r="O8" s="12"/>
      <c r="P8" t="s">
        <v>40</v>
      </c>
      <c r="Q8">
        <v>2200</v>
      </c>
      <c r="V8" s="11" t="s">
        <v>22</v>
      </c>
      <c r="W8" s="11" t="s">
        <v>1235</v>
      </c>
      <c r="X8" s="11" t="s">
        <v>1244</v>
      </c>
      <c r="Z8" s="11" t="s">
        <v>1269</v>
      </c>
      <c r="AA8" s="11" t="s">
        <v>1270</v>
      </c>
      <c r="AC8" s="11" t="s">
        <v>1448</v>
      </c>
      <c r="AD8" s="11" t="s">
        <v>1426</v>
      </c>
      <c r="AE8" s="11" t="s">
        <v>1449</v>
      </c>
    </row>
    <row r="9" spans="2:31" x14ac:dyDescent="0.25">
      <c r="D9" t="s">
        <v>41</v>
      </c>
      <c r="E9">
        <v>68</v>
      </c>
      <c r="G9" t="s">
        <v>42</v>
      </c>
      <c r="I9">
        <v>459</v>
      </c>
      <c r="J9" t="s">
        <v>77</v>
      </c>
      <c r="K9" t="s">
        <v>78</v>
      </c>
      <c r="L9">
        <v>38</v>
      </c>
      <c r="M9" s="12">
        <v>186.62</v>
      </c>
      <c r="N9" s="2">
        <v>38496.954548611109</v>
      </c>
      <c r="O9" s="12"/>
      <c r="P9" t="s">
        <v>45</v>
      </c>
      <c r="Q9">
        <v>2272</v>
      </c>
      <c r="V9" s="11" t="s">
        <v>16</v>
      </c>
      <c r="W9" s="11" t="s">
        <v>1232</v>
      </c>
      <c r="X9" s="11" t="s">
        <v>1233</v>
      </c>
      <c r="Z9" s="11" t="s">
        <v>1271</v>
      </c>
      <c r="AA9" s="11" t="s">
        <v>1246</v>
      </c>
      <c r="AC9" s="11" t="s">
        <v>1450</v>
      </c>
      <c r="AD9" s="11" t="s">
        <v>1446</v>
      </c>
      <c r="AE9" s="11" t="s">
        <v>1451</v>
      </c>
    </row>
    <row r="10" spans="2:31" x14ac:dyDescent="0.25">
      <c r="D10" t="s">
        <v>46</v>
      </c>
      <c r="E10">
        <v>62</v>
      </c>
      <c r="G10" t="s">
        <v>47</v>
      </c>
      <c r="I10">
        <v>469</v>
      </c>
      <c r="J10" t="s">
        <v>48</v>
      </c>
      <c r="K10" t="s">
        <v>49</v>
      </c>
      <c r="L10">
        <v>40</v>
      </c>
      <c r="M10" s="12">
        <v>177.6</v>
      </c>
      <c r="N10" s="2">
        <v>38498.130358796298</v>
      </c>
      <c r="O10" s="12"/>
      <c r="P10" t="s">
        <v>50</v>
      </c>
      <c r="Q10">
        <v>2311</v>
      </c>
      <c r="V10" s="11" t="s">
        <v>16</v>
      </c>
      <c r="W10" s="11" t="s">
        <v>1234</v>
      </c>
      <c r="X10" s="11" t="s">
        <v>1233</v>
      </c>
      <c r="Z10" s="11" t="s">
        <v>1272</v>
      </c>
      <c r="AA10" s="11" t="s">
        <v>1273</v>
      </c>
      <c r="AC10" s="11" t="s">
        <v>1452</v>
      </c>
      <c r="AD10" s="11" t="s">
        <v>1453</v>
      </c>
      <c r="AE10" s="11" t="s">
        <v>1454</v>
      </c>
    </row>
    <row r="11" spans="2:31" x14ac:dyDescent="0.25">
      <c r="D11" t="s">
        <v>51</v>
      </c>
      <c r="E11">
        <v>69</v>
      </c>
      <c r="G11" t="s">
        <v>52</v>
      </c>
      <c r="I11">
        <v>468</v>
      </c>
      <c r="J11" t="s">
        <v>61</v>
      </c>
      <c r="K11" t="s">
        <v>62</v>
      </c>
      <c r="L11">
        <v>39</v>
      </c>
      <c r="M11" s="12">
        <v>175.61</v>
      </c>
      <c r="N11" s="2">
        <v>38497.720185185186</v>
      </c>
      <c r="O11" s="12"/>
      <c r="V11" s="11" t="s">
        <v>40</v>
      </c>
      <c r="W11" s="11" t="s">
        <v>1234</v>
      </c>
      <c r="X11" s="11" t="s">
        <v>1233</v>
      </c>
      <c r="Z11" s="11" t="s">
        <v>1274</v>
      </c>
      <c r="AA11" s="11" t="s">
        <v>1238</v>
      </c>
      <c r="AC11" s="11" t="s">
        <v>1443</v>
      </c>
      <c r="AD11" s="11" t="s">
        <v>1455</v>
      </c>
      <c r="AE11" s="11" t="s">
        <v>1456</v>
      </c>
    </row>
    <row r="12" spans="2:31" x14ac:dyDescent="0.25">
      <c r="D12" t="s">
        <v>55</v>
      </c>
      <c r="E12">
        <v>73</v>
      </c>
      <c r="G12" t="s">
        <v>56</v>
      </c>
      <c r="I12">
        <v>236</v>
      </c>
      <c r="J12" t="s">
        <v>32</v>
      </c>
      <c r="K12" t="s">
        <v>33</v>
      </c>
      <c r="L12">
        <v>42</v>
      </c>
      <c r="M12" s="12">
        <v>175.58</v>
      </c>
      <c r="N12" s="2">
        <v>38498.657592592594</v>
      </c>
      <c r="O12" s="12"/>
      <c r="V12" s="11" t="s">
        <v>34</v>
      </c>
      <c r="W12" s="11" t="s">
        <v>1237</v>
      </c>
      <c r="X12" s="11" t="s">
        <v>1251</v>
      </c>
      <c r="Z12" s="11" t="s">
        <v>1275</v>
      </c>
      <c r="AA12" s="11" t="s">
        <v>1276</v>
      </c>
      <c r="AC12" s="11" t="s">
        <v>1457</v>
      </c>
      <c r="AD12" s="11" t="s">
        <v>1435</v>
      </c>
      <c r="AE12" s="11" t="s">
        <v>1458</v>
      </c>
    </row>
    <row r="13" spans="2:31" x14ac:dyDescent="0.25">
      <c r="D13" t="s">
        <v>59</v>
      </c>
      <c r="E13">
        <v>61</v>
      </c>
      <c r="G13" t="s">
        <v>60</v>
      </c>
      <c r="I13">
        <v>181</v>
      </c>
      <c r="J13" t="s">
        <v>175</v>
      </c>
      <c r="K13" t="s">
        <v>176</v>
      </c>
      <c r="L13">
        <v>34</v>
      </c>
      <c r="M13" s="12">
        <v>174.66</v>
      </c>
      <c r="N13" s="2">
        <v>38500.47179398148</v>
      </c>
      <c r="O13" s="12"/>
      <c r="V13" s="11" t="s">
        <v>50</v>
      </c>
      <c r="W13" s="11" t="s">
        <v>1234</v>
      </c>
      <c r="X13" s="11" t="s">
        <v>1253</v>
      </c>
      <c r="Z13" s="11" t="s">
        <v>1277</v>
      </c>
      <c r="AA13" s="11" t="s">
        <v>1278</v>
      </c>
      <c r="AC13" s="11" t="s">
        <v>1459</v>
      </c>
      <c r="AD13" s="11" t="s">
        <v>1446</v>
      </c>
      <c r="AE13" s="11" t="s">
        <v>1460</v>
      </c>
    </row>
    <row r="14" spans="2:31" x14ac:dyDescent="0.25">
      <c r="D14" t="s">
        <v>63</v>
      </c>
      <c r="E14">
        <v>56</v>
      </c>
      <c r="G14" t="s">
        <v>64</v>
      </c>
      <c r="I14">
        <v>176</v>
      </c>
      <c r="J14" t="s">
        <v>81</v>
      </c>
      <c r="K14" t="s">
        <v>82</v>
      </c>
      <c r="L14">
        <v>37</v>
      </c>
      <c r="M14" s="12">
        <v>173.63</v>
      </c>
      <c r="N14" s="2">
        <v>38498.137291666666</v>
      </c>
      <c r="O14" s="12"/>
      <c r="V14" s="11" t="s">
        <v>16</v>
      </c>
      <c r="W14" s="11" t="s">
        <v>1235</v>
      </c>
      <c r="X14" s="11" t="s">
        <v>1236</v>
      </c>
      <c r="Z14" s="11" t="s">
        <v>1279</v>
      </c>
      <c r="AA14" s="11" t="s">
        <v>1280</v>
      </c>
      <c r="AC14" s="11" t="s">
        <v>1461</v>
      </c>
      <c r="AD14" s="11" t="s">
        <v>1426</v>
      </c>
      <c r="AE14" s="11" t="s">
        <v>1462</v>
      </c>
    </row>
    <row r="15" spans="2:31" x14ac:dyDescent="0.25">
      <c r="D15" t="s">
        <v>67</v>
      </c>
      <c r="E15">
        <v>51</v>
      </c>
      <c r="G15" t="s">
        <v>68</v>
      </c>
      <c r="I15">
        <v>50</v>
      </c>
      <c r="J15" t="s">
        <v>115</v>
      </c>
      <c r="K15" t="s">
        <v>116</v>
      </c>
      <c r="L15">
        <v>35</v>
      </c>
      <c r="M15" s="12">
        <v>169.65</v>
      </c>
      <c r="N15" s="2">
        <v>38501.480729166666</v>
      </c>
      <c r="O15" s="12"/>
      <c r="V15" s="11" t="s">
        <v>45</v>
      </c>
      <c r="W15" s="11" t="s">
        <v>1237</v>
      </c>
      <c r="X15" s="11" t="s">
        <v>1258</v>
      </c>
      <c r="Z15" s="11" t="s">
        <v>1281</v>
      </c>
      <c r="AA15" s="11" t="s">
        <v>1280</v>
      </c>
      <c r="AC15" s="11" t="s">
        <v>1463</v>
      </c>
      <c r="AD15" s="11" t="s">
        <v>1423</v>
      </c>
      <c r="AE15" s="11" t="s">
        <v>1464</v>
      </c>
    </row>
    <row r="16" spans="2:31" x14ac:dyDescent="0.25">
      <c r="D16" t="s">
        <v>71</v>
      </c>
      <c r="E16">
        <v>63</v>
      </c>
      <c r="G16" t="s">
        <v>72</v>
      </c>
      <c r="I16">
        <v>259</v>
      </c>
      <c r="J16" t="s">
        <v>267</v>
      </c>
      <c r="K16" t="s">
        <v>268</v>
      </c>
      <c r="L16">
        <v>32</v>
      </c>
      <c r="M16" s="12">
        <v>168.68</v>
      </c>
      <c r="N16" s="2">
        <v>38501.229525462964</v>
      </c>
      <c r="O16" s="12"/>
      <c r="P16" s="12"/>
      <c r="V16" s="11" t="s">
        <v>16</v>
      </c>
      <c r="W16" s="11" t="s">
        <v>1237</v>
      </c>
      <c r="X16" s="11" t="s">
        <v>1238</v>
      </c>
      <c r="Z16" s="11" t="s">
        <v>1282</v>
      </c>
      <c r="AA16" s="11" t="s">
        <v>1283</v>
      </c>
      <c r="AC16" s="11" t="s">
        <v>1446</v>
      </c>
      <c r="AD16" s="11" t="s">
        <v>1413</v>
      </c>
      <c r="AE16" s="11" t="s">
        <v>1465</v>
      </c>
    </row>
    <row r="17" spans="4:31" x14ac:dyDescent="0.25">
      <c r="D17" t="s">
        <v>75</v>
      </c>
      <c r="E17">
        <v>61</v>
      </c>
      <c r="G17" t="s">
        <v>76</v>
      </c>
      <c r="I17">
        <v>522</v>
      </c>
      <c r="J17" t="s">
        <v>229</v>
      </c>
      <c r="K17" t="s">
        <v>230</v>
      </c>
      <c r="L17">
        <v>33</v>
      </c>
      <c r="M17" s="12">
        <v>167.67</v>
      </c>
      <c r="N17" s="2">
        <v>38499.664548611108</v>
      </c>
      <c r="O17" s="12"/>
      <c r="P17" s="12"/>
      <c r="V17" s="11" t="s">
        <v>34</v>
      </c>
      <c r="W17" s="11" t="s">
        <v>1232</v>
      </c>
      <c r="X17" s="11" t="s">
        <v>1238</v>
      </c>
      <c r="Z17" s="11" t="s">
        <v>1284</v>
      </c>
      <c r="AA17" s="11" t="s">
        <v>1285</v>
      </c>
      <c r="AC17" s="11" t="s">
        <v>1466</v>
      </c>
      <c r="AD17" s="11" t="s">
        <v>1459</v>
      </c>
      <c r="AE17" s="11" t="s">
        <v>1467</v>
      </c>
    </row>
    <row r="18" spans="4:31" x14ac:dyDescent="0.25">
      <c r="D18" t="s">
        <v>79</v>
      </c>
      <c r="E18">
        <v>74</v>
      </c>
      <c r="G18" t="s">
        <v>80</v>
      </c>
      <c r="I18">
        <v>410</v>
      </c>
      <c r="J18" t="s">
        <v>73</v>
      </c>
      <c r="K18" t="s">
        <v>74</v>
      </c>
      <c r="L18">
        <v>38</v>
      </c>
      <c r="M18" s="12">
        <v>167.62</v>
      </c>
      <c r="N18" s="2">
        <v>38518.956643518519</v>
      </c>
      <c r="O18" s="12"/>
      <c r="V18" s="11" t="s">
        <v>22</v>
      </c>
      <c r="W18" s="11" t="s">
        <v>1237</v>
      </c>
      <c r="X18" s="11" t="s">
        <v>1245</v>
      </c>
      <c r="Z18" s="11" t="s">
        <v>1286</v>
      </c>
      <c r="AA18" s="11" t="s">
        <v>1287</v>
      </c>
      <c r="AC18" s="11" t="s">
        <v>1455</v>
      </c>
      <c r="AD18" s="11" t="s">
        <v>1429</v>
      </c>
      <c r="AE18" s="11" t="s">
        <v>1468</v>
      </c>
    </row>
    <row r="19" spans="4:31" x14ac:dyDescent="0.25">
      <c r="D19" t="s">
        <v>83</v>
      </c>
      <c r="E19">
        <v>57</v>
      </c>
      <c r="G19" t="s">
        <v>84</v>
      </c>
      <c r="I19">
        <v>403</v>
      </c>
      <c r="J19" t="s">
        <v>145</v>
      </c>
      <c r="K19" t="s">
        <v>146</v>
      </c>
      <c r="L19">
        <v>35</v>
      </c>
      <c r="M19" s="12">
        <v>166.65</v>
      </c>
      <c r="N19" s="2">
        <v>38499.758483796293</v>
      </c>
      <c r="O19" s="12"/>
      <c r="V19" s="11" t="s">
        <v>50</v>
      </c>
      <c r="W19" s="11" t="s">
        <v>1235</v>
      </c>
      <c r="X19" s="11" t="s">
        <v>1245</v>
      </c>
      <c r="Z19" s="11" t="s">
        <v>1288</v>
      </c>
      <c r="AA19" s="11" t="s">
        <v>1289</v>
      </c>
      <c r="AC19" s="11" t="s">
        <v>1469</v>
      </c>
      <c r="AD19" s="11" t="s">
        <v>1470</v>
      </c>
      <c r="AE19" s="11" t="s">
        <v>1471</v>
      </c>
    </row>
    <row r="20" spans="4:31" x14ac:dyDescent="0.25">
      <c r="G20" t="s">
        <v>87</v>
      </c>
      <c r="I20">
        <v>295</v>
      </c>
      <c r="J20" t="s">
        <v>69</v>
      </c>
      <c r="K20" t="s">
        <v>70</v>
      </c>
      <c r="L20">
        <v>38</v>
      </c>
      <c r="M20" s="12">
        <v>162.62</v>
      </c>
      <c r="N20" s="2">
        <v>38499.339097222219</v>
      </c>
      <c r="O20" s="12"/>
      <c r="V20" s="11" t="s">
        <v>50</v>
      </c>
      <c r="W20" s="11" t="s">
        <v>1237</v>
      </c>
      <c r="X20" s="11" t="s">
        <v>1254</v>
      </c>
      <c r="Z20" s="11" t="s">
        <v>1290</v>
      </c>
      <c r="AA20" s="11" t="s">
        <v>1291</v>
      </c>
      <c r="AC20" s="11" t="s">
        <v>1472</v>
      </c>
      <c r="AD20" s="11" t="s">
        <v>1435</v>
      </c>
      <c r="AE20" s="11" t="s">
        <v>1473</v>
      </c>
    </row>
    <row r="21" spans="4:31" x14ac:dyDescent="0.25">
      <c r="G21" t="s">
        <v>90</v>
      </c>
      <c r="I21">
        <v>209</v>
      </c>
      <c r="J21" t="s">
        <v>257</v>
      </c>
      <c r="K21" t="s">
        <v>258</v>
      </c>
      <c r="L21">
        <v>32</v>
      </c>
      <c r="M21" s="12">
        <v>161.68</v>
      </c>
      <c r="N21" s="2">
        <v>38499.163483796299</v>
      </c>
      <c r="O21" s="12"/>
      <c r="V21" s="11" t="s">
        <v>28</v>
      </c>
      <c r="W21" s="11" t="s">
        <v>1237</v>
      </c>
      <c r="X21" s="11" t="s">
        <v>1249</v>
      </c>
      <c r="Z21" s="11" t="s">
        <v>1292</v>
      </c>
      <c r="AA21" s="11" t="s">
        <v>1293</v>
      </c>
      <c r="AC21" s="11" t="s">
        <v>1435</v>
      </c>
      <c r="AD21" s="11" t="s">
        <v>1429</v>
      </c>
      <c r="AE21" s="11" t="s">
        <v>1464</v>
      </c>
    </row>
    <row r="22" spans="4:31" x14ac:dyDescent="0.25">
      <c r="G22" t="s">
        <v>93</v>
      </c>
      <c r="I22">
        <v>373</v>
      </c>
      <c r="J22" t="s">
        <v>139</v>
      </c>
      <c r="K22" t="s">
        <v>140</v>
      </c>
      <c r="L22">
        <v>35</v>
      </c>
      <c r="M22" s="12">
        <v>161.65</v>
      </c>
      <c r="N22" s="2">
        <v>38498.643807870372</v>
      </c>
      <c r="O22" s="12"/>
      <c r="V22" s="11" t="s">
        <v>22</v>
      </c>
      <c r="W22" s="11" t="s">
        <v>1234</v>
      </c>
      <c r="X22" s="11" t="s">
        <v>1243</v>
      </c>
      <c r="Z22" s="11" t="s">
        <v>1294</v>
      </c>
      <c r="AA22" s="11" t="s">
        <v>1295</v>
      </c>
      <c r="AC22" s="11" t="s">
        <v>1474</v>
      </c>
      <c r="AD22" s="11" t="s">
        <v>1453</v>
      </c>
      <c r="AE22" s="11" t="s">
        <v>1475</v>
      </c>
    </row>
    <row r="23" spans="4:31" x14ac:dyDescent="0.25">
      <c r="G23" t="s">
        <v>96</v>
      </c>
      <c r="I23">
        <v>470</v>
      </c>
      <c r="J23" t="s">
        <v>289</v>
      </c>
      <c r="K23" t="s">
        <v>290</v>
      </c>
      <c r="L23">
        <v>32</v>
      </c>
      <c r="M23" s="12">
        <v>160.68</v>
      </c>
      <c r="N23" s="2">
        <v>38497.373900462961</v>
      </c>
      <c r="O23" s="12"/>
      <c r="V23" s="11" t="s">
        <v>40</v>
      </c>
      <c r="W23" s="11" t="s">
        <v>1232</v>
      </c>
      <c r="X23" s="11" t="s">
        <v>1239</v>
      </c>
      <c r="Z23" s="11" t="s">
        <v>1296</v>
      </c>
      <c r="AA23" s="11" t="s">
        <v>1297</v>
      </c>
      <c r="AC23" s="11" t="s">
        <v>1433</v>
      </c>
      <c r="AD23" s="11" t="s">
        <v>1461</v>
      </c>
      <c r="AE23" s="11" t="s">
        <v>1476</v>
      </c>
    </row>
    <row r="24" spans="4:31" x14ac:dyDescent="0.25">
      <c r="G24" t="s">
        <v>99</v>
      </c>
      <c r="I24">
        <v>187</v>
      </c>
      <c r="J24" t="s">
        <v>528</v>
      </c>
      <c r="K24" t="s">
        <v>529</v>
      </c>
      <c r="L24">
        <v>28</v>
      </c>
      <c r="M24" s="12">
        <v>159.72</v>
      </c>
      <c r="N24" s="2">
        <v>38498.611030092594</v>
      </c>
      <c r="O24" s="12"/>
      <c r="V24" s="11" t="s">
        <v>34</v>
      </c>
      <c r="W24" s="11" t="s">
        <v>1235</v>
      </c>
      <c r="X24" s="11" t="s">
        <v>1239</v>
      </c>
      <c r="Z24" s="11" t="s">
        <v>1298</v>
      </c>
      <c r="AA24" s="11" t="s">
        <v>1299</v>
      </c>
      <c r="AC24" s="11" t="s">
        <v>1453</v>
      </c>
      <c r="AD24" s="11" t="s">
        <v>1429</v>
      </c>
      <c r="AE24" s="11" t="s">
        <v>1477</v>
      </c>
    </row>
    <row r="25" spans="4:31" x14ac:dyDescent="0.25">
      <c r="G25" t="s">
        <v>102</v>
      </c>
      <c r="I25">
        <v>550</v>
      </c>
      <c r="J25" t="s">
        <v>299</v>
      </c>
      <c r="K25" t="s">
        <v>300</v>
      </c>
      <c r="L25">
        <v>32</v>
      </c>
      <c r="M25" s="12">
        <v>159.68</v>
      </c>
      <c r="N25" s="2">
        <v>38502.497164351851</v>
      </c>
      <c r="O25" s="12"/>
      <c r="V25" s="11" t="s">
        <v>45</v>
      </c>
      <c r="W25" s="11" t="s">
        <v>1235</v>
      </c>
      <c r="X25" s="11" t="s">
        <v>1257</v>
      </c>
      <c r="Z25" s="11" t="s">
        <v>1300</v>
      </c>
      <c r="AA25" s="11" t="s">
        <v>1301</v>
      </c>
      <c r="AC25" s="11" t="s">
        <v>1429</v>
      </c>
      <c r="AD25" s="11" t="s">
        <v>1453</v>
      </c>
      <c r="AE25" s="11" t="s">
        <v>1478</v>
      </c>
    </row>
    <row r="26" spans="4:31" x14ac:dyDescent="0.25">
      <c r="G26" t="s">
        <v>105</v>
      </c>
      <c r="I26">
        <v>462</v>
      </c>
      <c r="J26" t="s">
        <v>170</v>
      </c>
      <c r="K26" t="s">
        <v>228</v>
      </c>
      <c r="L26">
        <v>33</v>
      </c>
      <c r="M26" s="12">
        <v>159.66999999999999</v>
      </c>
      <c r="N26" s="2">
        <v>38498.054918981485</v>
      </c>
      <c r="O26" s="12"/>
      <c r="V26" s="11" t="s">
        <v>28</v>
      </c>
      <c r="W26" s="11" t="s">
        <v>1234</v>
      </c>
      <c r="X26" s="11" t="s">
        <v>1247</v>
      </c>
      <c r="Z26" s="11" t="s">
        <v>1302</v>
      </c>
      <c r="AA26" s="11" t="s">
        <v>1303</v>
      </c>
      <c r="AC26" s="11" t="s">
        <v>1426</v>
      </c>
      <c r="AD26" s="11" t="s">
        <v>1453</v>
      </c>
      <c r="AE26" s="11" t="s">
        <v>1479</v>
      </c>
    </row>
    <row r="27" spans="4:31" x14ac:dyDescent="0.25">
      <c r="G27" t="s">
        <v>108</v>
      </c>
      <c r="I27">
        <v>267</v>
      </c>
      <c r="J27" t="s">
        <v>97</v>
      </c>
      <c r="K27" t="s">
        <v>98</v>
      </c>
      <c r="L27">
        <v>36</v>
      </c>
      <c r="M27" s="12">
        <v>159.63999999999999</v>
      </c>
      <c r="N27" s="2">
        <v>38497.623171296298</v>
      </c>
      <c r="O27" s="12"/>
      <c r="V27" s="11" t="s">
        <v>40</v>
      </c>
      <c r="W27" s="11" t="s">
        <v>1237</v>
      </c>
      <c r="X27" s="11" t="s">
        <v>1241</v>
      </c>
      <c r="Z27" s="11" t="s">
        <v>1304</v>
      </c>
      <c r="AA27" s="11" t="s">
        <v>1305</v>
      </c>
      <c r="AC27" s="11" t="s">
        <v>1423</v>
      </c>
      <c r="AD27" s="11" t="s">
        <v>1470</v>
      </c>
      <c r="AE27" s="11" t="s">
        <v>1449</v>
      </c>
    </row>
    <row r="28" spans="4:31" x14ac:dyDescent="0.25">
      <c r="G28" t="s">
        <v>111</v>
      </c>
      <c r="I28">
        <v>293</v>
      </c>
      <c r="J28" t="s">
        <v>323</v>
      </c>
      <c r="K28" t="s">
        <v>324</v>
      </c>
      <c r="L28">
        <v>31</v>
      </c>
      <c r="M28" s="12">
        <v>158.69</v>
      </c>
      <c r="N28" s="2">
        <v>38499.779826388891</v>
      </c>
      <c r="O28" s="12"/>
      <c r="V28" s="11" t="s">
        <v>45</v>
      </c>
      <c r="W28" s="11" t="s">
        <v>1232</v>
      </c>
      <c r="X28" s="11" t="s">
        <v>1255</v>
      </c>
      <c r="Z28" s="11" t="s">
        <v>1306</v>
      </c>
      <c r="AA28" s="11" t="s">
        <v>1307</v>
      </c>
      <c r="AC28" s="11" t="s">
        <v>1418</v>
      </c>
      <c r="AD28" s="11" t="s">
        <v>1429</v>
      </c>
      <c r="AE28" s="11" t="s">
        <v>1480</v>
      </c>
    </row>
    <row r="29" spans="4:31" x14ac:dyDescent="0.25">
      <c r="G29" t="s">
        <v>114</v>
      </c>
      <c r="I29">
        <v>372</v>
      </c>
      <c r="J29" t="s">
        <v>187</v>
      </c>
      <c r="K29" t="s">
        <v>188</v>
      </c>
      <c r="L29">
        <v>34</v>
      </c>
      <c r="M29" s="12">
        <v>158.66</v>
      </c>
      <c r="N29" s="2">
        <v>38500.659189814818</v>
      </c>
      <c r="O29" s="12"/>
      <c r="V29" s="11" t="s">
        <v>22</v>
      </c>
      <c r="W29" s="11" t="s">
        <v>1232</v>
      </c>
      <c r="X29" s="11" t="s">
        <v>1242</v>
      </c>
      <c r="Z29" s="11" t="s">
        <v>1308</v>
      </c>
      <c r="AA29" s="11" t="s">
        <v>1309</v>
      </c>
      <c r="AC29" s="11" t="s">
        <v>1413</v>
      </c>
      <c r="AD29" s="11" t="s">
        <v>1429</v>
      </c>
      <c r="AE29" s="11" t="s">
        <v>1481</v>
      </c>
    </row>
    <row r="30" spans="4:31" x14ac:dyDescent="0.25">
      <c r="G30" t="s">
        <v>117</v>
      </c>
      <c r="I30">
        <v>273</v>
      </c>
      <c r="J30" t="s">
        <v>127</v>
      </c>
      <c r="K30" t="s">
        <v>128</v>
      </c>
      <c r="L30">
        <v>35</v>
      </c>
      <c r="M30" s="12">
        <v>157.65</v>
      </c>
      <c r="N30" s="2">
        <v>38497.823854166665</v>
      </c>
      <c r="O30" s="12"/>
      <c r="V30" s="11" t="s">
        <v>34</v>
      </c>
      <c r="W30" s="11" t="s">
        <v>1234</v>
      </c>
      <c r="X30" s="11" t="s">
        <v>1250</v>
      </c>
      <c r="Z30" s="11" t="s">
        <v>1310</v>
      </c>
      <c r="AA30" s="11" t="s">
        <v>1311</v>
      </c>
      <c r="AC30" s="11" t="s">
        <v>1410</v>
      </c>
      <c r="AD30" s="11" t="s">
        <v>1466</v>
      </c>
      <c r="AE30" s="11" t="s">
        <v>1482</v>
      </c>
    </row>
    <row r="31" spans="4:31" x14ac:dyDescent="0.25">
      <c r="G31" t="s">
        <v>120</v>
      </c>
      <c r="I31">
        <v>368</v>
      </c>
      <c r="J31" t="s">
        <v>133</v>
      </c>
      <c r="K31" t="s">
        <v>134</v>
      </c>
      <c r="L31">
        <v>35</v>
      </c>
      <c r="M31" s="12">
        <v>157.65</v>
      </c>
      <c r="N31" s="2">
        <v>38497.389918981484</v>
      </c>
      <c r="O31" s="12"/>
      <c r="V31" s="11" t="s">
        <v>40</v>
      </c>
      <c r="W31" s="11" t="s">
        <v>1235</v>
      </c>
      <c r="X31" s="11" t="s">
        <v>1240</v>
      </c>
      <c r="Z31" s="11" t="s">
        <v>1312</v>
      </c>
      <c r="AA31" s="11" t="s">
        <v>1313</v>
      </c>
      <c r="AC31" s="11" t="s">
        <v>1406</v>
      </c>
      <c r="AD31" s="11" t="s">
        <v>1455</v>
      </c>
      <c r="AE31" s="11" t="s">
        <v>1483</v>
      </c>
    </row>
    <row r="32" spans="4:31" x14ac:dyDescent="0.25">
      <c r="G32" t="s">
        <v>123</v>
      </c>
      <c r="I32">
        <v>346</v>
      </c>
      <c r="J32" t="s">
        <v>277</v>
      </c>
      <c r="K32" t="s">
        <v>278</v>
      </c>
      <c r="L32">
        <v>32</v>
      </c>
      <c r="M32" s="12">
        <v>155.68</v>
      </c>
      <c r="N32" s="2">
        <v>38497.397256944445</v>
      </c>
      <c r="O32" s="12"/>
      <c r="Z32" s="11" t="s">
        <v>1314</v>
      </c>
      <c r="AA32" s="11" t="s">
        <v>1315</v>
      </c>
      <c r="AC32" s="11" t="s">
        <v>1403</v>
      </c>
      <c r="AD32" s="11" t="s">
        <v>1461</v>
      </c>
      <c r="AE32" s="11" t="s">
        <v>1484</v>
      </c>
    </row>
    <row r="33" spans="7:31" x14ac:dyDescent="0.25">
      <c r="G33" t="s">
        <v>126</v>
      </c>
      <c r="I33">
        <v>21</v>
      </c>
      <c r="J33" t="s">
        <v>112</v>
      </c>
      <c r="K33" t="s">
        <v>113</v>
      </c>
      <c r="L33">
        <v>35</v>
      </c>
      <c r="M33" s="12">
        <v>155.65</v>
      </c>
      <c r="N33" s="2">
        <v>38498.654398148145</v>
      </c>
      <c r="O33" s="12"/>
      <c r="Z33" s="11" t="s">
        <v>1316</v>
      </c>
      <c r="AA33" s="11" t="s">
        <v>1317</v>
      </c>
      <c r="AC33" s="11" t="s">
        <v>1398</v>
      </c>
      <c r="AD33" s="11" t="s">
        <v>1459</v>
      </c>
      <c r="AE33" s="11" t="s">
        <v>1485</v>
      </c>
    </row>
    <row r="34" spans="7:31" x14ac:dyDescent="0.25">
      <c r="G34" t="s">
        <v>129</v>
      </c>
      <c r="I34">
        <v>75</v>
      </c>
      <c r="J34" t="s">
        <v>38</v>
      </c>
      <c r="K34" t="s">
        <v>39</v>
      </c>
      <c r="L34">
        <v>41</v>
      </c>
      <c r="M34" s="12">
        <v>155.59</v>
      </c>
      <c r="N34" s="2">
        <v>38498.198877314811</v>
      </c>
      <c r="O34" s="12"/>
      <c r="Z34" s="11" t="s">
        <v>1318</v>
      </c>
      <c r="AA34" s="11" t="s">
        <v>1319</v>
      </c>
      <c r="AC34" s="11" t="s">
        <v>1395</v>
      </c>
      <c r="AD34" s="11" t="s">
        <v>1395</v>
      </c>
      <c r="AE34" s="11" t="s">
        <v>1486</v>
      </c>
    </row>
    <row r="35" spans="7:31" x14ac:dyDescent="0.25">
      <c r="G35" t="s">
        <v>132</v>
      </c>
      <c r="I35">
        <v>197</v>
      </c>
      <c r="J35" t="s">
        <v>43</v>
      </c>
      <c r="K35" t="s">
        <v>44</v>
      </c>
      <c r="L35">
        <v>40</v>
      </c>
      <c r="M35" s="12">
        <v>154.6</v>
      </c>
      <c r="N35" s="2">
        <v>38497.669236111113</v>
      </c>
      <c r="O35" s="12"/>
      <c r="Z35" s="11" t="s">
        <v>1320</v>
      </c>
      <c r="AA35" s="11" t="s">
        <v>1321</v>
      </c>
      <c r="AC35" s="11" t="s">
        <v>1392</v>
      </c>
      <c r="AD35" s="11" t="s">
        <v>1452</v>
      </c>
      <c r="AE35" s="11" t="s">
        <v>1487</v>
      </c>
    </row>
    <row r="36" spans="7:31" x14ac:dyDescent="0.25">
      <c r="G36" t="s">
        <v>135</v>
      </c>
      <c r="I36">
        <v>119</v>
      </c>
      <c r="J36" t="s">
        <v>165</v>
      </c>
      <c r="K36" t="s">
        <v>166</v>
      </c>
      <c r="L36">
        <v>34</v>
      </c>
      <c r="M36" s="12">
        <v>153.66</v>
      </c>
      <c r="N36" s="2">
        <v>38497.403483796297</v>
      </c>
      <c r="O36" s="12"/>
      <c r="Z36" s="11" t="s">
        <v>1322</v>
      </c>
      <c r="AA36" s="11" t="s">
        <v>1323</v>
      </c>
      <c r="AC36" s="11" t="s">
        <v>1385</v>
      </c>
      <c r="AD36" s="11" t="s">
        <v>1466</v>
      </c>
      <c r="AE36" s="11" t="s">
        <v>1488</v>
      </c>
    </row>
    <row r="37" spans="7:31" x14ac:dyDescent="0.25">
      <c r="G37" t="s">
        <v>138</v>
      </c>
      <c r="I37">
        <v>532</v>
      </c>
      <c r="J37" t="s">
        <v>295</v>
      </c>
      <c r="K37" t="s">
        <v>296</v>
      </c>
      <c r="L37">
        <v>32</v>
      </c>
      <c r="M37" s="12">
        <v>152.68</v>
      </c>
      <c r="N37" s="2">
        <v>38497.235706018517</v>
      </c>
      <c r="O37" s="12"/>
      <c r="Z37" s="11" t="s">
        <v>1324</v>
      </c>
      <c r="AA37" s="11" t="s">
        <v>1325</v>
      </c>
      <c r="AC37" s="11" t="s">
        <v>1382</v>
      </c>
      <c r="AD37" s="11" t="s">
        <v>1423</v>
      </c>
      <c r="AE37" s="11" t="s">
        <v>1489</v>
      </c>
    </row>
    <row r="38" spans="7:31" x14ac:dyDescent="0.25">
      <c r="G38" t="s">
        <v>141</v>
      </c>
      <c r="I38">
        <v>390</v>
      </c>
      <c r="J38" t="s">
        <v>220</v>
      </c>
      <c r="K38" t="s">
        <v>221</v>
      </c>
      <c r="L38">
        <v>33</v>
      </c>
      <c r="M38" s="12">
        <v>152.66999999999999</v>
      </c>
      <c r="N38" s="2">
        <v>38498.613749999997</v>
      </c>
      <c r="O38" s="12"/>
      <c r="Z38" s="11" t="s">
        <v>1326</v>
      </c>
      <c r="AA38" s="11" t="s">
        <v>1325</v>
      </c>
      <c r="AC38" s="11" t="s">
        <v>1490</v>
      </c>
      <c r="AD38" s="11" t="s">
        <v>1453</v>
      </c>
      <c r="AE38" s="11" t="s">
        <v>1491</v>
      </c>
    </row>
    <row r="39" spans="7:31" x14ac:dyDescent="0.25">
      <c r="G39" t="s">
        <v>144</v>
      </c>
      <c r="I39">
        <v>26</v>
      </c>
      <c r="J39" t="s">
        <v>151</v>
      </c>
      <c r="K39" t="s">
        <v>152</v>
      </c>
      <c r="L39">
        <v>34</v>
      </c>
      <c r="M39" s="12">
        <v>152.66</v>
      </c>
      <c r="N39" s="2">
        <v>38501.708148148151</v>
      </c>
      <c r="O39" s="12"/>
      <c r="Z39" s="11" t="s">
        <v>1327</v>
      </c>
      <c r="AA39" s="11" t="s">
        <v>1328</v>
      </c>
      <c r="AC39" s="11" t="s">
        <v>1492</v>
      </c>
      <c r="AD39" s="11" t="s">
        <v>1453</v>
      </c>
      <c r="AE39" s="11" t="s">
        <v>1493</v>
      </c>
    </row>
    <row r="40" spans="7:31" x14ac:dyDescent="0.25">
      <c r="G40" t="s">
        <v>147</v>
      </c>
      <c r="I40">
        <v>274</v>
      </c>
      <c r="J40" t="s">
        <v>130</v>
      </c>
      <c r="K40" t="s">
        <v>131</v>
      </c>
      <c r="L40">
        <v>35</v>
      </c>
      <c r="M40" s="12">
        <v>152.65</v>
      </c>
      <c r="N40" s="2">
        <v>38498.012384259258</v>
      </c>
      <c r="O40" s="12"/>
      <c r="Z40" s="11" t="s">
        <v>1329</v>
      </c>
      <c r="AA40" s="11" t="s">
        <v>1330</v>
      </c>
      <c r="AC40" s="11" t="s">
        <v>1494</v>
      </c>
      <c r="AD40" s="11" t="s">
        <v>1469</v>
      </c>
      <c r="AE40" s="11" t="s">
        <v>1495</v>
      </c>
    </row>
    <row r="41" spans="7:31" x14ac:dyDescent="0.25">
      <c r="G41" t="s">
        <v>150</v>
      </c>
      <c r="I41">
        <v>506</v>
      </c>
      <c r="J41" t="s">
        <v>148</v>
      </c>
      <c r="K41" t="s">
        <v>149</v>
      </c>
      <c r="L41">
        <v>35</v>
      </c>
      <c r="M41" s="12">
        <v>152.65</v>
      </c>
      <c r="N41" s="2">
        <v>38497.800486111111</v>
      </c>
      <c r="O41" s="12"/>
      <c r="Z41" s="11" t="s">
        <v>1331</v>
      </c>
      <c r="AA41" s="11" t="s">
        <v>1332</v>
      </c>
      <c r="AC41" s="11" t="s">
        <v>1496</v>
      </c>
      <c r="AD41" s="11" t="s">
        <v>1469</v>
      </c>
      <c r="AE41" s="11" t="s">
        <v>1497</v>
      </c>
    </row>
    <row r="42" spans="7:31" x14ac:dyDescent="0.25">
      <c r="G42" t="s">
        <v>153</v>
      </c>
      <c r="I42">
        <v>366</v>
      </c>
      <c r="J42" t="s">
        <v>91</v>
      </c>
      <c r="K42" t="s">
        <v>92</v>
      </c>
      <c r="L42">
        <v>37</v>
      </c>
      <c r="M42" s="12">
        <v>152.63</v>
      </c>
      <c r="N42" s="2">
        <v>38502.451643518521</v>
      </c>
      <c r="O42" s="12"/>
      <c r="Z42" s="11" t="s">
        <v>1333</v>
      </c>
      <c r="AA42" s="11" t="s">
        <v>1334</v>
      </c>
      <c r="AC42" s="11" t="s">
        <v>1498</v>
      </c>
      <c r="AD42" s="11" t="s">
        <v>1423</v>
      </c>
      <c r="AE42" s="11" t="s">
        <v>1499</v>
      </c>
    </row>
    <row r="43" spans="7:31" x14ac:dyDescent="0.25">
      <c r="G43" t="s">
        <v>156</v>
      </c>
      <c r="I43">
        <v>7</v>
      </c>
      <c r="J43" t="s">
        <v>197</v>
      </c>
      <c r="K43" t="s">
        <v>198</v>
      </c>
      <c r="L43">
        <v>33</v>
      </c>
      <c r="M43" s="12">
        <v>151.66999999999999</v>
      </c>
      <c r="N43" s="2">
        <v>38497.252870370372</v>
      </c>
      <c r="O43" s="12"/>
      <c r="Z43" s="11" t="s">
        <v>1335</v>
      </c>
      <c r="AA43" s="11" t="s">
        <v>1336</v>
      </c>
      <c r="AC43" s="11" t="s">
        <v>1500</v>
      </c>
      <c r="AD43" s="11" t="s">
        <v>1469</v>
      </c>
      <c r="AE43" s="11" t="s">
        <v>1501</v>
      </c>
    </row>
    <row r="44" spans="7:31" x14ac:dyDescent="0.25">
      <c r="G44" t="s">
        <v>159</v>
      </c>
      <c r="I44">
        <v>454</v>
      </c>
      <c r="J44" t="s">
        <v>226</v>
      </c>
      <c r="K44" t="s">
        <v>227</v>
      </c>
      <c r="L44">
        <v>33</v>
      </c>
      <c r="M44" s="12">
        <v>151.66999999999999</v>
      </c>
      <c r="N44" s="2">
        <v>38501.339039351849</v>
      </c>
      <c r="O44" s="12"/>
      <c r="Z44" s="11" t="s">
        <v>1337</v>
      </c>
      <c r="AA44" s="11" t="s">
        <v>1338</v>
      </c>
      <c r="AC44" s="11" t="s">
        <v>1502</v>
      </c>
      <c r="AD44" s="11" t="s">
        <v>1423</v>
      </c>
      <c r="AE44" s="11" t="s">
        <v>1503</v>
      </c>
    </row>
    <row r="45" spans="7:31" x14ac:dyDescent="0.25">
      <c r="G45" t="s">
        <v>162</v>
      </c>
      <c r="I45">
        <v>211</v>
      </c>
      <c r="J45" t="s">
        <v>179</v>
      </c>
      <c r="K45" t="s">
        <v>180</v>
      </c>
      <c r="L45">
        <v>34</v>
      </c>
      <c r="M45" s="12">
        <v>151.66</v>
      </c>
      <c r="N45" s="2">
        <v>38498.521087962959</v>
      </c>
      <c r="O45" s="12"/>
      <c r="Z45" s="11" t="s">
        <v>1339</v>
      </c>
      <c r="AA45" s="11" t="s">
        <v>1340</v>
      </c>
      <c r="AC45" s="11" t="s">
        <v>1380</v>
      </c>
      <c r="AD45" s="11" t="s">
        <v>1463</v>
      </c>
      <c r="AE45" s="11" t="s">
        <v>1504</v>
      </c>
    </row>
    <row r="46" spans="7:31" x14ac:dyDescent="0.25">
      <c r="I46">
        <v>196</v>
      </c>
      <c r="J46" t="s">
        <v>121</v>
      </c>
      <c r="K46" t="s">
        <v>122</v>
      </c>
      <c r="L46">
        <v>35</v>
      </c>
      <c r="M46" s="12">
        <v>151.65</v>
      </c>
      <c r="N46" s="2">
        <v>38497.762719907405</v>
      </c>
      <c r="O46" s="12"/>
      <c r="Z46" s="11" t="s">
        <v>1341</v>
      </c>
      <c r="AA46" s="11" t="s">
        <v>1342</v>
      </c>
      <c r="AC46" s="11" t="s">
        <v>1378</v>
      </c>
      <c r="AD46" s="11" t="s">
        <v>1457</v>
      </c>
      <c r="AE46" s="11" t="s">
        <v>1505</v>
      </c>
    </row>
    <row r="47" spans="7:31" x14ac:dyDescent="0.25">
      <c r="I47">
        <v>439</v>
      </c>
      <c r="J47" t="s">
        <v>109</v>
      </c>
      <c r="K47" t="s">
        <v>110</v>
      </c>
      <c r="L47">
        <v>36</v>
      </c>
      <c r="M47" s="12">
        <v>151.63999999999999</v>
      </c>
      <c r="N47" s="2">
        <v>38497.880543981482</v>
      </c>
      <c r="O47" s="12"/>
      <c r="Z47" s="11" t="s">
        <v>1343</v>
      </c>
      <c r="AA47" s="11" t="s">
        <v>1344</v>
      </c>
      <c r="AC47" s="11" t="s">
        <v>1506</v>
      </c>
      <c r="AD47" s="11" t="s">
        <v>1474</v>
      </c>
      <c r="AE47" s="11" t="s">
        <v>1507</v>
      </c>
    </row>
    <row r="48" spans="7:31" x14ac:dyDescent="0.25">
      <c r="I48">
        <v>257</v>
      </c>
      <c r="J48" t="s">
        <v>88</v>
      </c>
      <c r="K48" t="s">
        <v>89</v>
      </c>
      <c r="L48">
        <v>37</v>
      </c>
      <c r="M48" s="12">
        <v>151.63</v>
      </c>
      <c r="N48" s="2">
        <v>38497.95857638889</v>
      </c>
      <c r="O48" s="12"/>
      <c r="Z48" s="11" t="s">
        <v>1345</v>
      </c>
      <c r="AA48" s="11" t="s">
        <v>1346</v>
      </c>
      <c r="AC48" s="11" t="s">
        <v>1508</v>
      </c>
      <c r="AD48" s="11" t="s">
        <v>1453</v>
      </c>
      <c r="AE48" s="11" t="s">
        <v>1499</v>
      </c>
    </row>
    <row r="49" spans="9:31" x14ac:dyDescent="0.25">
      <c r="I49">
        <v>360</v>
      </c>
      <c r="J49" t="s">
        <v>185</v>
      </c>
      <c r="K49" t="s">
        <v>186</v>
      </c>
      <c r="L49">
        <v>34</v>
      </c>
      <c r="M49" s="12">
        <v>150.66</v>
      </c>
      <c r="N49" s="2">
        <v>38500.734710648147</v>
      </c>
      <c r="O49" s="12"/>
      <c r="Z49" s="11" t="s">
        <v>1347</v>
      </c>
      <c r="AA49" s="11" t="s">
        <v>1346</v>
      </c>
      <c r="AC49" s="11" t="s">
        <v>1374</v>
      </c>
      <c r="AD49" s="11" t="s">
        <v>1469</v>
      </c>
      <c r="AE49" s="11" t="s">
        <v>1491</v>
      </c>
    </row>
    <row r="50" spans="9:31" x14ac:dyDescent="0.25">
      <c r="I50">
        <v>371</v>
      </c>
      <c r="J50" t="s">
        <v>136</v>
      </c>
      <c r="K50" t="s">
        <v>137</v>
      </c>
      <c r="L50">
        <v>35</v>
      </c>
      <c r="M50" s="12">
        <v>149.65</v>
      </c>
      <c r="N50" s="2">
        <v>38497.150578703702</v>
      </c>
      <c r="O50" s="12"/>
      <c r="Z50" s="11" t="s">
        <v>1348</v>
      </c>
      <c r="AA50" s="11" t="s">
        <v>1349</v>
      </c>
      <c r="AC50" s="11" t="s">
        <v>1509</v>
      </c>
      <c r="AD50" s="11" t="s">
        <v>1426</v>
      </c>
      <c r="AE50" s="11" t="s">
        <v>1510</v>
      </c>
    </row>
    <row r="51" spans="9:31" x14ac:dyDescent="0.25">
      <c r="I51">
        <v>513</v>
      </c>
      <c r="J51" t="s">
        <v>345</v>
      </c>
      <c r="K51" t="s">
        <v>346</v>
      </c>
      <c r="L51">
        <v>31</v>
      </c>
      <c r="M51" s="12">
        <v>148.69</v>
      </c>
      <c r="N51" s="2">
        <v>38502.996053240742</v>
      </c>
      <c r="O51" s="12"/>
      <c r="Z51" s="11" t="s">
        <v>1350</v>
      </c>
      <c r="AA51" s="11" t="s">
        <v>1351</v>
      </c>
      <c r="AC51" s="11" t="s">
        <v>1370</v>
      </c>
      <c r="AD51" s="11" t="s">
        <v>1457</v>
      </c>
      <c r="AE51" s="11" t="s">
        <v>1482</v>
      </c>
    </row>
    <row r="52" spans="9:31" x14ac:dyDescent="0.25">
      <c r="I52">
        <v>86</v>
      </c>
      <c r="J52" t="s">
        <v>205</v>
      </c>
      <c r="K52" t="s">
        <v>206</v>
      </c>
      <c r="L52">
        <v>33</v>
      </c>
      <c r="M52" s="12">
        <v>148.66999999999999</v>
      </c>
      <c r="N52" s="2">
        <v>38497.399444444447</v>
      </c>
      <c r="O52" s="12"/>
      <c r="Z52" s="11" t="s">
        <v>1352</v>
      </c>
      <c r="AA52" s="11" t="s">
        <v>1351</v>
      </c>
      <c r="AC52" s="11" t="s">
        <v>1368</v>
      </c>
      <c r="AD52" s="11" t="s">
        <v>1443</v>
      </c>
      <c r="AE52" s="11" t="s">
        <v>1511</v>
      </c>
    </row>
    <row r="53" spans="9:31" x14ac:dyDescent="0.25">
      <c r="I53">
        <v>309</v>
      </c>
      <c r="J53" t="s">
        <v>327</v>
      </c>
      <c r="K53" t="s">
        <v>328</v>
      </c>
      <c r="L53">
        <v>31</v>
      </c>
      <c r="M53" s="12">
        <v>147.69</v>
      </c>
      <c r="N53" s="2">
        <v>38498.393854166665</v>
      </c>
      <c r="O53" s="12"/>
      <c r="Z53" s="11" t="s">
        <v>1353</v>
      </c>
      <c r="AA53" s="11" t="s">
        <v>1354</v>
      </c>
      <c r="AC53" s="11" t="s">
        <v>1362</v>
      </c>
      <c r="AD53" s="11" t="s">
        <v>1429</v>
      </c>
      <c r="AE53" s="11" t="s">
        <v>1512</v>
      </c>
    </row>
    <row r="54" spans="9:31" x14ac:dyDescent="0.25">
      <c r="I54">
        <v>204</v>
      </c>
      <c r="J54" t="s">
        <v>124</v>
      </c>
      <c r="K54" t="s">
        <v>125</v>
      </c>
      <c r="L54">
        <v>35</v>
      </c>
      <c r="M54" s="12">
        <v>147.65</v>
      </c>
      <c r="N54" s="2">
        <v>38498.608101851853</v>
      </c>
      <c r="O54" s="12"/>
      <c r="Z54" s="11" t="s">
        <v>1355</v>
      </c>
      <c r="AA54" s="11" t="s">
        <v>1354</v>
      </c>
      <c r="AC54" s="11" t="s">
        <v>1513</v>
      </c>
      <c r="AD54" s="11" t="s">
        <v>1418</v>
      </c>
      <c r="AE54" s="11" t="s">
        <v>1514</v>
      </c>
    </row>
    <row r="55" spans="9:31" x14ac:dyDescent="0.25">
      <c r="I55">
        <v>103</v>
      </c>
      <c r="J55" t="s">
        <v>307</v>
      </c>
      <c r="K55" t="s">
        <v>308</v>
      </c>
      <c r="L55">
        <v>31</v>
      </c>
      <c r="M55" s="12">
        <v>146.69</v>
      </c>
      <c r="N55" s="2">
        <v>38498.528043981481</v>
      </c>
      <c r="O55" s="12"/>
      <c r="Z55" s="11" t="s">
        <v>1356</v>
      </c>
      <c r="AA55" s="11" t="s">
        <v>1357</v>
      </c>
      <c r="AC55" s="11" t="s">
        <v>1515</v>
      </c>
      <c r="AD55" s="11" t="s">
        <v>1435</v>
      </c>
      <c r="AE55" s="11" t="s">
        <v>1516</v>
      </c>
    </row>
    <row r="56" spans="9:31" x14ac:dyDescent="0.25">
      <c r="I56">
        <v>479</v>
      </c>
      <c r="J56" t="s">
        <v>341</v>
      </c>
      <c r="K56" t="s">
        <v>342</v>
      </c>
      <c r="L56">
        <v>31</v>
      </c>
      <c r="M56" s="12">
        <v>146.69</v>
      </c>
      <c r="N56" s="2">
        <v>38497.907569444447</v>
      </c>
      <c r="O56" s="12"/>
      <c r="Z56" s="11" t="s">
        <v>1358</v>
      </c>
      <c r="AA56" s="11" t="s">
        <v>1359</v>
      </c>
      <c r="AC56" s="11" t="s">
        <v>1359</v>
      </c>
      <c r="AD56" s="11" t="s">
        <v>1453</v>
      </c>
      <c r="AE56" s="11" t="s">
        <v>1451</v>
      </c>
    </row>
    <row r="57" spans="9:31" x14ac:dyDescent="0.25">
      <c r="I57">
        <v>348</v>
      </c>
      <c r="J57" t="s">
        <v>100</v>
      </c>
      <c r="K57" t="s">
        <v>101</v>
      </c>
      <c r="L57">
        <v>36</v>
      </c>
      <c r="M57" s="12">
        <v>146.63999999999999</v>
      </c>
      <c r="N57" s="2">
        <v>38498.033182870371</v>
      </c>
      <c r="O57" s="12"/>
      <c r="Z57" s="11" t="s">
        <v>1360</v>
      </c>
      <c r="AA57" s="11" t="s">
        <v>1359</v>
      </c>
      <c r="AC57" s="11" t="s">
        <v>1517</v>
      </c>
      <c r="AD57" s="11" t="s">
        <v>1472</v>
      </c>
      <c r="AE57" s="11" t="s">
        <v>1518</v>
      </c>
    </row>
    <row r="58" spans="9:31" x14ac:dyDescent="0.25">
      <c r="I58">
        <v>87</v>
      </c>
      <c r="J58" t="s">
        <v>362</v>
      </c>
      <c r="K58" t="s">
        <v>363</v>
      </c>
      <c r="L58">
        <v>30</v>
      </c>
      <c r="M58" s="12">
        <v>145.69999999999999</v>
      </c>
      <c r="N58" s="2">
        <v>38499.811041666668</v>
      </c>
      <c r="O58" s="12"/>
      <c r="Z58" s="11" t="s">
        <v>1361</v>
      </c>
      <c r="AA58" s="11" t="s">
        <v>1362</v>
      </c>
      <c r="AC58" s="11" t="s">
        <v>1519</v>
      </c>
      <c r="AD58" s="11" t="s">
        <v>1429</v>
      </c>
      <c r="AE58" s="11" t="s">
        <v>1520</v>
      </c>
    </row>
    <row r="59" spans="9:31" x14ac:dyDescent="0.25">
      <c r="I59">
        <v>362</v>
      </c>
      <c r="J59" t="s">
        <v>279</v>
      </c>
      <c r="K59" t="s">
        <v>280</v>
      </c>
      <c r="L59">
        <v>32</v>
      </c>
      <c r="M59" s="12">
        <v>145.68</v>
      </c>
      <c r="N59" s="2">
        <v>38503.209131944444</v>
      </c>
      <c r="O59" s="12"/>
      <c r="Z59" s="11" t="s">
        <v>1363</v>
      </c>
      <c r="AA59" s="11" t="s">
        <v>1362</v>
      </c>
      <c r="AC59" s="11" t="s">
        <v>1357</v>
      </c>
      <c r="AD59" s="11" t="s">
        <v>1463</v>
      </c>
      <c r="AE59" s="11" t="s">
        <v>1521</v>
      </c>
    </row>
    <row r="60" spans="9:31" x14ac:dyDescent="0.25">
      <c r="I60">
        <v>172</v>
      </c>
      <c r="J60" t="s">
        <v>211</v>
      </c>
      <c r="K60" t="s">
        <v>212</v>
      </c>
      <c r="L60">
        <v>33</v>
      </c>
      <c r="M60" s="12">
        <v>145.66999999999999</v>
      </c>
      <c r="N60" s="2">
        <v>38499.800868055558</v>
      </c>
      <c r="O60" s="12"/>
      <c r="Z60" s="11" t="s">
        <v>1364</v>
      </c>
      <c r="AA60" s="11" t="s">
        <v>1362</v>
      </c>
      <c r="AC60" s="11" t="s">
        <v>1354</v>
      </c>
      <c r="AD60" s="11" t="s">
        <v>1429</v>
      </c>
      <c r="AE60" s="11" t="s">
        <v>1454</v>
      </c>
    </row>
    <row r="61" spans="9:31" x14ac:dyDescent="0.25">
      <c r="I61">
        <v>436</v>
      </c>
      <c r="J61" t="s">
        <v>416</v>
      </c>
      <c r="K61" t="s">
        <v>417</v>
      </c>
      <c r="L61">
        <v>30</v>
      </c>
      <c r="M61" s="12">
        <v>144.69999999999999</v>
      </c>
      <c r="N61" s="2">
        <v>38497.249756944446</v>
      </c>
      <c r="O61" s="12"/>
      <c r="Z61" s="11" t="s">
        <v>1365</v>
      </c>
      <c r="AA61" s="11" t="s">
        <v>1362</v>
      </c>
      <c r="AC61" s="11" t="s">
        <v>1351</v>
      </c>
      <c r="AD61" s="11" t="s">
        <v>1452</v>
      </c>
      <c r="AE61" s="11" t="s">
        <v>1522</v>
      </c>
    </row>
    <row r="62" spans="9:31" x14ac:dyDescent="0.25">
      <c r="I62">
        <v>277</v>
      </c>
      <c r="J62" t="s">
        <v>269</v>
      </c>
      <c r="K62" t="s">
        <v>270</v>
      </c>
      <c r="L62">
        <v>32</v>
      </c>
      <c r="M62" s="12">
        <v>144.68</v>
      </c>
      <c r="N62" s="2">
        <v>38498.917812500003</v>
      </c>
      <c r="O62" s="12"/>
      <c r="Z62" s="11" t="s">
        <v>1366</v>
      </c>
      <c r="AA62" s="11" t="s">
        <v>1362</v>
      </c>
      <c r="AC62" s="11" t="s">
        <v>1523</v>
      </c>
      <c r="AD62" s="11" t="s">
        <v>1466</v>
      </c>
      <c r="AE62" s="11" t="s">
        <v>1524</v>
      </c>
    </row>
    <row r="63" spans="9:31" x14ac:dyDescent="0.25">
      <c r="I63">
        <v>237</v>
      </c>
      <c r="J63" t="s">
        <v>215</v>
      </c>
      <c r="K63" t="s">
        <v>216</v>
      </c>
      <c r="L63">
        <v>33</v>
      </c>
      <c r="M63" s="12">
        <v>144.66999999999999</v>
      </c>
      <c r="N63" s="2">
        <v>38497.908680555556</v>
      </c>
      <c r="O63" s="12"/>
      <c r="Z63" s="11" t="s">
        <v>1367</v>
      </c>
      <c r="AA63" s="11" t="s">
        <v>1368</v>
      </c>
      <c r="AC63" s="11" t="s">
        <v>1525</v>
      </c>
      <c r="AD63" s="11" t="s">
        <v>1463</v>
      </c>
      <c r="AE63" s="11" t="s">
        <v>1526</v>
      </c>
    </row>
    <row r="64" spans="9:31" x14ac:dyDescent="0.25">
      <c r="I64">
        <v>66</v>
      </c>
      <c r="J64" t="s">
        <v>163</v>
      </c>
      <c r="K64" t="s">
        <v>164</v>
      </c>
      <c r="L64">
        <v>34</v>
      </c>
      <c r="M64" s="12">
        <v>144.66</v>
      </c>
      <c r="N64" s="2">
        <v>38502.547743055555</v>
      </c>
      <c r="O64" s="12"/>
      <c r="Z64" s="11" t="s">
        <v>1369</v>
      </c>
      <c r="AA64" s="11" t="s">
        <v>1370</v>
      </c>
      <c r="AC64" s="11" t="s">
        <v>1527</v>
      </c>
      <c r="AD64" s="11" t="s">
        <v>1466</v>
      </c>
      <c r="AE64" s="11" t="s">
        <v>1528</v>
      </c>
    </row>
    <row r="65" spans="9:31" x14ac:dyDescent="0.25">
      <c r="I65">
        <v>5</v>
      </c>
      <c r="J65" t="s">
        <v>65</v>
      </c>
      <c r="K65" t="s">
        <v>66</v>
      </c>
      <c r="L65">
        <v>38</v>
      </c>
      <c r="M65" s="12">
        <v>144.62</v>
      </c>
      <c r="N65" s="2">
        <v>38501.309212962966</v>
      </c>
      <c r="O65" s="12"/>
      <c r="Z65" s="11" t="s">
        <v>1371</v>
      </c>
      <c r="AA65" s="11" t="s">
        <v>1370</v>
      </c>
      <c r="AC65" s="11" t="s">
        <v>1349</v>
      </c>
      <c r="AD65" s="11" t="s">
        <v>1461</v>
      </c>
      <c r="AE65" s="11" t="s">
        <v>1529</v>
      </c>
    </row>
    <row r="66" spans="9:31" x14ac:dyDescent="0.25">
      <c r="I66">
        <v>337</v>
      </c>
      <c r="J66" t="s">
        <v>465</v>
      </c>
      <c r="K66" t="s">
        <v>466</v>
      </c>
      <c r="L66">
        <v>29</v>
      </c>
      <c r="M66" s="12">
        <v>143.71</v>
      </c>
      <c r="N66" s="2">
        <v>38499.351736111108</v>
      </c>
      <c r="O66" s="12"/>
      <c r="Z66" s="11" t="s">
        <v>1372</v>
      </c>
      <c r="AA66" s="11" t="s">
        <v>1370</v>
      </c>
      <c r="AC66" s="11" t="s">
        <v>1530</v>
      </c>
      <c r="AD66" s="11" t="s">
        <v>1453</v>
      </c>
      <c r="AE66" s="11" t="s">
        <v>1531</v>
      </c>
    </row>
    <row r="67" spans="9:31" x14ac:dyDescent="0.25">
      <c r="I67">
        <v>363</v>
      </c>
      <c r="J67" t="s">
        <v>469</v>
      </c>
      <c r="K67" t="s">
        <v>470</v>
      </c>
      <c r="L67">
        <v>29</v>
      </c>
      <c r="M67" s="12">
        <v>143.71</v>
      </c>
      <c r="N67" s="2">
        <v>38501.31621527778</v>
      </c>
      <c r="O67" s="12"/>
      <c r="Z67" s="11" t="s">
        <v>1373</v>
      </c>
      <c r="AA67" s="11" t="s">
        <v>1374</v>
      </c>
      <c r="AC67" s="11" t="s">
        <v>1532</v>
      </c>
      <c r="AD67" s="11" t="s">
        <v>1455</v>
      </c>
      <c r="AE67" s="11" t="s">
        <v>1533</v>
      </c>
    </row>
    <row r="68" spans="9:31" x14ac:dyDescent="0.25">
      <c r="I68">
        <v>120</v>
      </c>
      <c r="J68" t="s">
        <v>243</v>
      </c>
      <c r="K68" t="s">
        <v>244</v>
      </c>
      <c r="L68">
        <v>32</v>
      </c>
      <c r="M68" s="12">
        <v>143.68</v>
      </c>
      <c r="N68" s="2">
        <v>38497.407997685186</v>
      </c>
      <c r="O68" s="12"/>
      <c r="Z68" s="11" t="s">
        <v>1375</v>
      </c>
      <c r="AA68" s="11" t="s">
        <v>1374</v>
      </c>
      <c r="AC68" s="11" t="s">
        <v>1534</v>
      </c>
      <c r="AD68" s="11" t="s">
        <v>1453</v>
      </c>
      <c r="AE68" s="11" t="s">
        <v>1535</v>
      </c>
    </row>
    <row r="69" spans="9:31" x14ac:dyDescent="0.25">
      <c r="I69">
        <v>289</v>
      </c>
      <c r="J69" t="s">
        <v>386</v>
      </c>
      <c r="K69" t="s">
        <v>387</v>
      </c>
      <c r="L69">
        <v>30</v>
      </c>
      <c r="M69" s="12">
        <v>142.69999999999999</v>
      </c>
      <c r="N69" s="2">
        <v>38520.131238425929</v>
      </c>
      <c r="O69" s="12"/>
      <c r="Z69" s="11" t="s">
        <v>1376</v>
      </c>
      <c r="AA69" s="11" t="s">
        <v>1374</v>
      </c>
      <c r="AC69" s="11" t="s">
        <v>1536</v>
      </c>
      <c r="AD69" s="11" t="s">
        <v>1472</v>
      </c>
      <c r="AE69" s="11" t="s">
        <v>1537</v>
      </c>
    </row>
    <row r="70" spans="9:31" x14ac:dyDescent="0.25">
      <c r="I70">
        <v>347</v>
      </c>
      <c r="J70" t="s">
        <v>400</v>
      </c>
      <c r="K70" t="s">
        <v>401</v>
      </c>
      <c r="L70">
        <v>30</v>
      </c>
      <c r="M70" s="12">
        <v>142.69999999999999</v>
      </c>
      <c r="N70" s="2">
        <v>38519.591574074075</v>
      </c>
      <c r="O70" s="12"/>
      <c r="Z70" s="11" t="s">
        <v>1377</v>
      </c>
      <c r="AA70" s="11" t="s">
        <v>1378</v>
      </c>
      <c r="AC70" s="11" t="s">
        <v>1346</v>
      </c>
      <c r="AD70" s="11" t="s">
        <v>1466</v>
      </c>
      <c r="AE70" s="11" t="s">
        <v>1538</v>
      </c>
    </row>
    <row r="71" spans="9:31" x14ac:dyDescent="0.25">
      <c r="I71">
        <v>46</v>
      </c>
      <c r="J71" t="s">
        <v>160</v>
      </c>
      <c r="K71" t="s">
        <v>161</v>
      </c>
      <c r="L71">
        <v>34</v>
      </c>
      <c r="M71" s="12">
        <v>142.66</v>
      </c>
      <c r="N71" s="2">
        <v>38499.540219907409</v>
      </c>
      <c r="O71" s="12"/>
      <c r="Z71" s="11" t="s">
        <v>1379</v>
      </c>
      <c r="AA71" s="11" t="s">
        <v>1380</v>
      </c>
      <c r="AC71" s="11" t="s">
        <v>1539</v>
      </c>
      <c r="AD71" s="11" t="s">
        <v>1474</v>
      </c>
      <c r="AE71" s="11" t="s">
        <v>1540</v>
      </c>
    </row>
    <row r="72" spans="9:31" x14ac:dyDescent="0.25">
      <c r="I72">
        <v>239</v>
      </c>
      <c r="J72" t="s">
        <v>181</v>
      </c>
      <c r="K72" t="s">
        <v>182</v>
      </c>
      <c r="L72">
        <v>34</v>
      </c>
      <c r="M72" s="12">
        <v>142.66</v>
      </c>
      <c r="N72" s="2">
        <v>38496.980393518519</v>
      </c>
      <c r="O72" s="12"/>
      <c r="Z72" s="11" t="s">
        <v>1381</v>
      </c>
      <c r="AA72" s="11" t="s">
        <v>1382</v>
      </c>
      <c r="AC72" s="11" t="s">
        <v>1541</v>
      </c>
      <c r="AD72" s="11" t="s">
        <v>1403</v>
      </c>
      <c r="AE72" s="11" t="s">
        <v>1542</v>
      </c>
    </row>
    <row r="73" spans="9:31" x14ac:dyDescent="0.25">
      <c r="I73">
        <v>39</v>
      </c>
      <c r="J73" t="s">
        <v>436</v>
      </c>
      <c r="K73" t="s">
        <v>437</v>
      </c>
      <c r="L73">
        <v>29</v>
      </c>
      <c r="M73" s="12">
        <v>141.71</v>
      </c>
      <c r="N73" s="2">
        <v>38519.325787037036</v>
      </c>
      <c r="O73" s="12"/>
      <c r="Z73" s="11" t="s">
        <v>1383</v>
      </c>
      <c r="AA73" s="11" t="s">
        <v>1382</v>
      </c>
      <c r="AC73" s="11" t="s">
        <v>1543</v>
      </c>
      <c r="AD73" s="11" t="s">
        <v>1463</v>
      </c>
      <c r="AE73" s="11" t="s">
        <v>1544</v>
      </c>
    </row>
    <row r="74" spans="9:31" x14ac:dyDescent="0.25">
      <c r="I74">
        <v>472</v>
      </c>
      <c r="J74" t="s">
        <v>420</v>
      </c>
      <c r="K74" t="s">
        <v>421</v>
      </c>
      <c r="L74">
        <v>30</v>
      </c>
      <c r="M74" s="12">
        <v>141.69999999999999</v>
      </c>
      <c r="N74" s="2">
        <v>38497.988738425927</v>
      </c>
      <c r="O74" s="12"/>
      <c r="Z74" s="11" t="s">
        <v>1384</v>
      </c>
      <c r="AA74" s="11" t="s">
        <v>1385</v>
      </c>
      <c r="AC74" s="11" t="s">
        <v>1545</v>
      </c>
      <c r="AD74" s="11" t="s">
        <v>1463</v>
      </c>
      <c r="AE74" s="11" t="s">
        <v>1537</v>
      </c>
    </row>
    <row r="75" spans="9:31" x14ac:dyDescent="0.25">
      <c r="I75">
        <v>78</v>
      </c>
      <c r="J75" t="s">
        <v>305</v>
      </c>
      <c r="K75" t="s">
        <v>306</v>
      </c>
      <c r="L75">
        <v>31</v>
      </c>
      <c r="M75" s="12">
        <v>141.69</v>
      </c>
      <c r="N75" s="2">
        <v>38521.096770833334</v>
      </c>
      <c r="O75" s="12"/>
      <c r="Z75" s="11" t="s">
        <v>1386</v>
      </c>
      <c r="AA75" s="11" t="s">
        <v>1385</v>
      </c>
      <c r="AC75" s="11" t="s">
        <v>1546</v>
      </c>
      <c r="AD75" s="11" t="s">
        <v>1459</v>
      </c>
      <c r="AE75" s="11" t="s">
        <v>1547</v>
      </c>
    </row>
    <row r="76" spans="9:31" x14ac:dyDescent="0.25">
      <c r="I76">
        <v>84</v>
      </c>
      <c r="J76" t="s">
        <v>203</v>
      </c>
      <c r="K76" t="s">
        <v>204</v>
      </c>
      <c r="L76">
        <v>33</v>
      </c>
      <c r="M76" s="12">
        <v>141.66999999999999</v>
      </c>
      <c r="N76" s="2">
        <v>38499.581701388888</v>
      </c>
      <c r="O76" s="12"/>
      <c r="Z76" s="11" t="s">
        <v>1387</v>
      </c>
      <c r="AA76" s="11" t="s">
        <v>1385</v>
      </c>
      <c r="AC76" s="11" t="s">
        <v>1344</v>
      </c>
      <c r="AD76" s="11" t="s">
        <v>1435</v>
      </c>
      <c r="AE76" s="11" t="s">
        <v>1548</v>
      </c>
    </row>
    <row r="77" spans="9:31" x14ac:dyDescent="0.25">
      <c r="I77">
        <v>533</v>
      </c>
      <c r="J77" t="s">
        <v>231</v>
      </c>
      <c r="K77" t="s">
        <v>232</v>
      </c>
      <c r="L77">
        <v>33</v>
      </c>
      <c r="M77" s="12">
        <v>141.66999999999999</v>
      </c>
      <c r="N77" s="2">
        <v>38498.154282407406</v>
      </c>
      <c r="O77" s="12"/>
      <c r="Z77" s="11" t="s">
        <v>1388</v>
      </c>
      <c r="AA77" s="11" t="s">
        <v>1385</v>
      </c>
      <c r="AC77" s="11" t="s">
        <v>1342</v>
      </c>
      <c r="AD77" s="11" t="s">
        <v>1410</v>
      </c>
      <c r="AE77" s="11" t="s">
        <v>1549</v>
      </c>
    </row>
    <row r="78" spans="9:31" x14ac:dyDescent="0.25">
      <c r="I78">
        <v>566</v>
      </c>
      <c r="J78" t="s">
        <v>193</v>
      </c>
      <c r="K78" t="s">
        <v>194</v>
      </c>
      <c r="L78">
        <v>34</v>
      </c>
      <c r="M78" s="12">
        <v>141.66</v>
      </c>
      <c r="N78" s="2">
        <v>38498.491203703707</v>
      </c>
      <c r="O78" s="12"/>
      <c r="Z78" s="11" t="s">
        <v>1389</v>
      </c>
      <c r="AA78" s="11" t="s">
        <v>1390</v>
      </c>
      <c r="AC78" s="11" t="s">
        <v>1550</v>
      </c>
      <c r="AD78" s="11" t="s">
        <v>1429</v>
      </c>
      <c r="AE78" s="11" t="s">
        <v>1551</v>
      </c>
    </row>
    <row r="79" spans="9:31" x14ac:dyDescent="0.25">
      <c r="I79">
        <v>198</v>
      </c>
      <c r="J79" t="s">
        <v>85</v>
      </c>
      <c r="K79" t="s">
        <v>86</v>
      </c>
      <c r="L79">
        <v>37</v>
      </c>
      <c r="M79" s="12">
        <v>141.63</v>
      </c>
      <c r="N79" s="2">
        <v>38499.275868055556</v>
      </c>
      <c r="O79" s="12"/>
      <c r="Z79" s="11" t="s">
        <v>1391</v>
      </c>
      <c r="AA79" s="11" t="s">
        <v>1392</v>
      </c>
      <c r="AC79" s="11" t="s">
        <v>1340</v>
      </c>
      <c r="AD79" s="11" t="s">
        <v>1446</v>
      </c>
      <c r="AE79" s="11" t="s">
        <v>1552</v>
      </c>
    </row>
    <row r="80" spans="9:31" x14ac:dyDescent="0.25">
      <c r="I80">
        <v>494</v>
      </c>
      <c r="J80" t="s">
        <v>343</v>
      </c>
      <c r="K80" t="s">
        <v>344</v>
      </c>
      <c r="L80">
        <v>31</v>
      </c>
      <c r="M80" s="12">
        <v>140.69</v>
      </c>
      <c r="N80" s="2">
        <v>38500.627592592595</v>
      </c>
      <c r="O80" s="12"/>
      <c r="Z80" s="11" t="s">
        <v>1393</v>
      </c>
      <c r="AA80" s="11" t="s">
        <v>1392</v>
      </c>
      <c r="AC80" s="11" t="s">
        <v>1553</v>
      </c>
      <c r="AD80" s="11" t="s">
        <v>1470</v>
      </c>
      <c r="AE80" s="11" t="s">
        <v>1554</v>
      </c>
    </row>
    <row r="81" spans="9:31" x14ac:dyDescent="0.25">
      <c r="I81">
        <v>242</v>
      </c>
      <c r="J81" t="s">
        <v>259</v>
      </c>
      <c r="K81" t="s">
        <v>260</v>
      </c>
      <c r="L81">
        <v>32</v>
      </c>
      <c r="M81" s="12">
        <v>140.68</v>
      </c>
      <c r="N81" s="2">
        <v>38497.770891203705</v>
      </c>
      <c r="O81" s="12"/>
      <c r="Z81" s="11" t="s">
        <v>1394</v>
      </c>
      <c r="AA81" s="11" t="s">
        <v>1395</v>
      </c>
      <c r="AC81" s="11" t="s">
        <v>1555</v>
      </c>
      <c r="AD81" s="11" t="s">
        <v>1461</v>
      </c>
      <c r="AE81" s="11" t="s">
        <v>1556</v>
      </c>
    </row>
    <row r="82" spans="9:31" x14ac:dyDescent="0.25">
      <c r="I82">
        <v>29</v>
      </c>
      <c r="J82" t="s">
        <v>94</v>
      </c>
      <c r="K82" t="s">
        <v>95</v>
      </c>
      <c r="L82">
        <v>36</v>
      </c>
      <c r="M82" s="12">
        <v>140.63999999999999</v>
      </c>
      <c r="N82" s="2">
        <v>38498.286493055559</v>
      </c>
      <c r="O82" s="12"/>
      <c r="Z82" s="11" t="s">
        <v>1396</v>
      </c>
      <c r="AA82" s="11" t="s">
        <v>1395</v>
      </c>
      <c r="AC82" s="11" t="s">
        <v>1338</v>
      </c>
      <c r="AD82" s="11" t="s">
        <v>1453</v>
      </c>
      <c r="AE82" s="11" t="s">
        <v>1557</v>
      </c>
    </row>
    <row r="83" spans="9:31" x14ac:dyDescent="0.25">
      <c r="I83">
        <v>146</v>
      </c>
      <c r="J83" t="s">
        <v>444</v>
      </c>
      <c r="K83" t="s">
        <v>445</v>
      </c>
      <c r="L83">
        <v>29</v>
      </c>
      <c r="M83" s="12">
        <v>139.71</v>
      </c>
      <c r="N83" s="2">
        <v>38501.469340277778</v>
      </c>
      <c r="O83" s="12"/>
      <c r="Z83" s="11" t="s">
        <v>1397</v>
      </c>
      <c r="AA83" s="11" t="s">
        <v>1398</v>
      </c>
      <c r="AC83" s="11" t="s">
        <v>1336</v>
      </c>
      <c r="AD83" s="11" t="s">
        <v>1455</v>
      </c>
      <c r="AE83" s="11" t="s">
        <v>1558</v>
      </c>
    </row>
    <row r="84" spans="9:31" x14ac:dyDescent="0.25">
      <c r="I84">
        <v>467</v>
      </c>
      <c r="J84" t="s">
        <v>479</v>
      </c>
      <c r="K84" t="s">
        <v>480</v>
      </c>
      <c r="L84">
        <v>29</v>
      </c>
      <c r="M84" s="12">
        <v>139.71</v>
      </c>
      <c r="N84" s="2">
        <v>38498.435995370368</v>
      </c>
      <c r="O84" s="12"/>
      <c r="Z84" s="11" t="s">
        <v>1399</v>
      </c>
      <c r="AA84" s="11" t="s">
        <v>1398</v>
      </c>
      <c r="AC84" s="11" t="s">
        <v>1334</v>
      </c>
      <c r="AD84" s="11" t="s">
        <v>1469</v>
      </c>
      <c r="AE84" s="11" t="s">
        <v>1559</v>
      </c>
    </row>
    <row r="85" spans="9:31" x14ac:dyDescent="0.25">
      <c r="I85">
        <v>404</v>
      </c>
      <c r="J85" t="s">
        <v>408</v>
      </c>
      <c r="K85" t="s">
        <v>409</v>
      </c>
      <c r="L85">
        <v>30</v>
      </c>
      <c r="M85" s="12">
        <v>139.69999999999999</v>
      </c>
      <c r="N85" s="2">
        <v>38503.455925925926</v>
      </c>
      <c r="O85" s="12"/>
      <c r="Z85" s="11" t="s">
        <v>1400</v>
      </c>
      <c r="AA85" s="11" t="s">
        <v>1398</v>
      </c>
      <c r="AC85" s="11" t="s">
        <v>1560</v>
      </c>
      <c r="AD85" s="11" t="s">
        <v>1403</v>
      </c>
      <c r="AE85" s="11" t="s">
        <v>1561</v>
      </c>
    </row>
    <row r="86" spans="9:31" x14ac:dyDescent="0.25">
      <c r="I86">
        <v>484</v>
      </c>
      <c r="J86" t="s">
        <v>422</v>
      </c>
      <c r="K86" t="s">
        <v>423</v>
      </c>
      <c r="L86">
        <v>30</v>
      </c>
      <c r="M86" s="12">
        <v>139.69999999999999</v>
      </c>
      <c r="N86" s="2">
        <v>38497.183749999997</v>
      </c>
      <c r="O86" s="12"/>
      <c r="Z86" s="11" t="s">
        <v>1401</v>
      </c>
      <c r="AA86" s="11" t="s">
        <v>1398</v>
      </c>
      <c r="AC86" s="11" t="s">
        <v>1562</v>
      </c>
      <c r="AD86" s="11" t="s">
        <v>1446</v>
      </c>
      <c r="AE86" s="11" t="s">
        <v>1491</v>
      </c>
    </row>
    <row r="87" spans="9:31" x14ac:dyDescent="0.25">
      <c r="I87">
        <v>114</v>
      </c>
      <c r="J87" t="s">
        <v>209</v>
      </c>
      <c r="K87" t="s">
        <v>210</v>
      </c>
      <c r="L87">
        <v>33</v>
      </c>
      <c r="M87" s="12">
        <v>139.66999999999999</v>
      </c>
      <c r="N87" s="2">
        <v>38498.333067129628</v>
      </c>
      <c r="O87" s="12"/>
      <c r="Z87" s="11" t="s">
        <v>1402</v>
      </c>
      <c r="AA87" s="11" t="s">
        <v>1403</v>
      </c>
      <c r="AC87" s="11" t="s">
        <v>1563</v>
      </c>
      <c r="AD87" s="11" t="s">
        <v>1429</v>
      </c>
      <c r="AE87" s="11" t="s">
        <v>1564</v>
      </c>
    </row>
    <row r="88" spans="9:31" x14ac:dyDescent="0.25">
      <c r="I88">
        <v>576</v>
      </c>
      <c r="J88" t="s">
        <v>195</v>
      </c>
      <c r="K88" t="s">
        <v>196</v>
      </c>
      <c r="L88">
        <v>34</v>
      </c>
      <c r="M88" s="12">
        <v>139.66</v>
      </c>
      <c r="N88" s="2">
        <v>38501.435057870367</v>
      </c>
      <c r="O88" s="12"/>
      <c r="Z88" s="11" t="s">
        <v>1404</v>
      </c>
      <c r="AA88" s="11" t="s">
        <v>1403</v>
      </c>
      <c r="AC88" s="11" t="s">
        <v>1330</v>
      </c>
      <c r="AD88" s="11" t="s">
        <v>1435</v>
      </c>
      <c r="AE88" s="11" t="s">
        <v>1565</v>
      </c>
    </row>
    <row r="89" spans="9:31" x14ac:dyDescent="0.25">
      <c r="I89">
        <v>349</v>
      </c>
      <c r="J89" t="s">
        <v>467</v>
      </c>
      <c r="K89" t="s">
        <v>468</v>
      </c>
      <c r="L89">
        <v>29</v>
      </c>
      <c r="M89" s="12">
        <v>138.71</v>
      </c>
      <c r="N89" s="2">
        <v>38502.321574074071</v>
      </c>
      <c r="O89" s="12"/>
      <c r="Z89" s="11" t="s">
        <v>1405</v>
      </c>
      <c r="AA89" s="11" t="s">
        <v>1406</v>
      </c>
      <c r="AC89" s="11" t="s">
        <v>1566</v>
      </c>
      <c r="AD89" s="11" t="s">
        <v>1423</v>
      </c>
      <c r="AE89" s="11" t="s">
        <v>1567</v>
      </c>
    </row>
    <row r="90" spans="9:31" x14ac:dyDescent="0.25">
      <c r="I90">
        <v>482</v>
      </c>
      <c r="J90" t="s">
        <v>483</v>
      </c>
      <c r="K90" t="s">
        <v>484</v>
      </c>
      <c r="L90">
        <v>29</v>
      </c>
      <c r="M90" s="12">
        <v>138.71</v>
      </c>
      <c r="N90" s="2">
        <v>38498.64775462963</v>
      </c>
      <c r="O90" s="12"/>
      <c r="Z90" s="11" t="s">
        <v>1407</v>
      </c>
      <c r="AA90" s="11" t="s">
        <v>1406</v>
      </c>
      <c r="AC90" s="11" t="s">
        <v>1568</v>
      </c>
      <c r="AD90" s="11" t="s">
        <v>1463</v>
      </c>
      <c r="AE90" s="11" t="s">
        <v>1569</v>
      </c>
    </row>
    <row r="91" spans="9:31" x14ac:dyDescent="0.25">
      <c r="I91">
        <v>306</v>
      </c>
      <c r="J91" t="s">
        <v>271</v>
      </c>
      <c r="K91" t="s">
        <v>272</v>
      </c>
      <c r="L91">
        <v>32</v>
      </c>
      <c r="M91" s="12">
        <v>138.68</v>
      </c>
      <c r="N91" s="2">
        <v>38499.367604166669</v>
      </c>
      <c r="O91" s="12"/>
      <c r="Z91" s="11" t="s">
        <v>1408</v>
      </c>
      <c r="AA91" s="11" t="s">
        <v>1406</v>
      </c>
      <c r="AC91" s="11" t="s">
        <v>1570</v>
      </c>
      <c r="AD91" s="11" t="s">
        <v>1446</v>
      </c>
      <c r="AE91" s="11" t="s">
        <v>1571</v>
      </c>
    </row>
    <row r="92" spans="9:31" x14ac:dyDescent="0.25">
      <c r="I92">
        <v>51</v>
      </c>
      <c r="J92" t="s">
        <v>199</v>
      </c>
      <c r="K92" t="s">
        <v>200</v>
      </c>
      <c r="L92">
        <v>33</v>
      </c>
      <c r="M92" s="12">
        <v>138.66999999999999</v>
      </c>
      <c r="N92" s="2">
        <v>38497.817384259259</v>
      </c>
      <c r="O92" s="12"/>
      <c r="Z92" s="11" t="s">
        <v>1409</v>
      </c>
      <c r="AA92" s="11" t="s">
        <v>1410</v>
      </c>
      <c r="AC92" s="11" t="s">
        <v>1572</v>
      </c>
      <c r="AD92" s="11" t="s">
        <v>1450</v>
      </c>
      <c r="AE92" s="11" t="s">
        <v>1573</v>
      </c>
    </row>
    <row r="93" spans="9:31" x14ac:dyDescent="0.25">
      <c r="I93">
        <v>502</v>
      </c>
      <c r="J93" t="s">
        <v>191</v>
      </c>
      <c r="K93" t="s">
        <v>192</v>
      </c>
      <c r="L93">
        <v>34</v>
      </c>
      <c r="M93" s="12">
        <v>138.66</v>
      </c>
      <c r="N93" s="2">
        <v>38498.644606481481</v>
      </c>
      <c r="O93" s="12"/>
      <c r="Z93" s="11" t="s">
        <v>1411</v>
      </c>
      <c r="AA93" s="11" t="s">
        <v>1410</v>
      </c>
      <c r="AC93" s="11" t="s">
        <v>1328</v>
      </c>
      <c r="AD93" s="11" t="s">
        <v>1472</v>
      </c>
      <c r="AE93" s="11" t="s">
        <v>1574</v>
      </c>
    </row>
    <row r="94" spans="9:31" x14ac:dyDescent="0.25">
      <c r="I94">
        <v>80</v>
      </c>
      <c r="J94" t="s">
        <v>360</v>
      </c>
      <c r="K94" t="s">
        <v>361</v>
      </c>
      <c r="L94">
        <v>30</v>
      </c>
      <c r="M94" s="12">
        <v>137.69999999999999</v>
      </c>
      <c r="N94" s="2">
        <v>38522.241967592592</v>
      </c>
      <c r="O94" s="12"/>
      <c r="Z94" s="11" t="s">
        <v>1412</v>
      </c>
      <c r="AA94" s="11" t="s">
        <v>1413</v>
      </c>
      <c r="AC94" s="11" t="s">
        <v>1325</v>
      </c>
      <c r="AD94" s="11" t="s">
        <v>1466</v>
      </c>
      <c r="AE94" s="11" t="s">
        <v>1449</v>
      </c>
    </row>
    <row r="95" spans="9:31" x14ac:dyDescent="0.25">
      <c r="I95">
        <v>210</v>
      </c>
      <c r="J95" t="s">
        <v>313</v>
      </c>
      <c r="K95" t="s">
        <v>314</v>
      </c>
      <c r="L95">
        <v>31</v>
      </c>
      <c r="M95" s="12">
        <v>137.69</v>
      </c>
      <c r="N95" s="2">
        <v>38502.690300925926</v>
      </c>
      <c r="O95" s="12"/>
      <c r="Z95" s="11" t="s">
        <v>1414</v>
      </c>
      <c r="AA95" s="11" t="s">
        <v>1413</v>
      </c>
      <c r="AC95" s="11" t="s">
        <v>1575</v>
      </c>
      <c r="AD95" s="11" t="s">
        <v>1474</v>
      </c>
      <c r="AE95" s="11" t="s">
        <v>1576</v>
      </c>
    </row>
    <row r="96" spans="9:31" x14ac:dyDescent="0.25">
      <c r="I96">
        <v>300</v>
      </c>
      <c r="J96" t="s">
        <v>325</v>
      </c>
      <c r="K96" t="s">
        <v>326</v>
      </c>
      <c r="L96">
        <v>31</v>
      </c>
      <c r="M96" s="12">
        <v>137.69</v>
      </c>
      <c r="N96" s="2">
        <v>38499.828113425923</v>
      </c>
      <c r="O96" s="12"/>
      <c r="Z96" s="11" t="s">
        <v>1415</v>
      </c>
      <c r="AA96" s="11" t="s">
        <v>1413</v>
      </c>
      <c r="AC96" s="11" t="s">
        <v>1577</v>
      </c>
      <c r="AD96" s="11" t="s">
        <v>1466</v>
      </c>
      <c r="AE96" s="11" t="s">
        <v>1578</v>
      </c>
    </row>
    <row r="97" spans="9:31" x14ac:dyDescent="0.25">
      <c r="I97">
        <v>102</v>
      </c>
      <c r="J97" t="s">
        <v>207</v>
      </c>
      <c r="K97" t="s">
        <v>208</v>
      </c>
      <c r="L97">
        <v>33</v>
      </c>
      <c r="M97" s="12">
        <v>137.66999999999999</v>
      </c>
      <c r="N97" s="2">
        <v>38498.584085648145</v>
      </c>
      <c r="O97" s="12"/>
      <c r="Z97" s="11" t="s">
        <v>1416</v>
      </c>
      <c r="AA97" s="11" t="s">
        <v>1413</v>
      </c>
      <c r="AC97" s="11" t="s">
        <v>1323</v>
      </c>
      <c r="AD97" s="11" t="s">
        <v>1433</v>
      </c>
      <c r="AE97" s="11" t="s">
        <v>1579</v>
      </c>
    </row>
    <row r="98" spans="9:31" x14ac:dyDescent="0.25">
      <c r="I98">
        <v>207</v>
      </c>
      <c r="J98" t="s">
        <v>177</v>
      </c>
      <c r="K98" t="s">
        <v>178</v>
      </c>
      <c r="L98">
        <v>34</v>
      </c>
      <c r="M98" s="12">
        <v>137.66</v>
      </c>
      <c r="N98" s="2">
        <v>38497.202615740738</v>
      </c>
      <c r="O98" s="12"/>
      <c r="Z98" s="11" t="s">
        <v>1417</v>
      </c>
      <c r="AA98" s="11" t="s">
        <v>1418</v>
      </c>
      <c r="AC98" s="11" t="s">
        <v>1580</v>
      </c>
      <c r="AD98" s="11" t="s">
        <v>1453</v>
      </c>
      <c r="AE98" s="11" t="s">
        <v>1581</v>
      </c>
    </row>
    <row r="99" spans="9:31" x14ac:dyDescent="0.25">
      <c r="I99">
        <v>200</v>
      </c>
      <c r="J99" t="s">
        <v>611</v>
      </c>
      <c r="K99" t="s">
        <v>612</v>
      </c>
      <c r="L99">
        <v>27</v>
      </c>
      <c r="M99" s="12">
        <v>136.72999999999999</v>
      </c>
      <c r="N99" s="2">
        <v>38498.681203703702</v>
      </c>
      <c r="O99" s="12"/>
      <c r="Z99" s="11" t="s">
        <v>1419</v>
      </c>
      <c r="AA99" s="11" t="s">
        <v>1418</v>
      </c>
      <c r="AC99" s="11" t="s">
        <v>1582</v>
      </c>
      <c r="AD99" s="11" t="s">
        <v>1413</v>
      </c>
      <c r="AE99" s="11" t="s">
        <v>1583</v>
      </c>
    </row>
    <row r="100" spans="9:31" x14ac:dyDescent="0.25">
      <c r="I100">
        <v>380</v>
      </c>
      <c r="J100" t="s">
        <v>106</v>
      </c>
      <c r="K100" t="s">
        <v>107</v>
      </c>
      <c r="L100">
        <v>36</v>
      </c>
      <c r="M100" s="12">
        <v>136.63999999999999</v>
      </c>
      <c r="N100" s="2">
        <v>38502.054340277777</v>
      </c>
      <c r="O100" s="12"/>
      <c r="Z100" s="11" t="s">
        <v>1420</v>
      </c>
      <c r="AA100" s="11" t="s">
        <v>1418</v>
      </c>
      <c r="AC100" s="11" t="s">
        <v>1584</v>
      </c>
      <c r="AD100" s="11" t="s">
        <v>1452</v>
      </c>
      <c r="AE100" s="11" t="s">
        <v>1460</v>
      </c>
    </row>
    <row r="101" spans="9:31" x14ac:dyDescent="0.25">
      <c r="I101">
        <v>3</v>
      </c>
      <c r="J101" t="s">
        <v>658</v>
      </c>
      <c r="K101" t="s">
        <v>659</v>
      </c>
      <c r="L101">
        <v>26</v>
      </c>
      <c r="M101" s="12">
        <v>135.74</v>
      </c>
      <c r="N101" s="2">
        <v>38499.720243055555</v>
      </c>
      <c r="O101" s="12"/>
      <c r="Z101" s="11" t="s">
        <v>1421</v>
      </c>
      <c r="AA101" s="11" t="s">
        <v>1418</v>
      </c>
      <c r="AC101" s="11" t="s">
        <v>1585</v>
      </c>
      <c r="AD101" s="11" t="s">
        <v>1385</v>
      </c>
      <c r="AE101" s="11" t="s">
        <v>1586</v>
      </c>
    </row>
    <row r="102" spans="9:31" x14ac:dyDescent="0.25">
      <c r="I102">
        <v>285</v>
      </c>
      <c r="J102" t="s">
        <v>702</v>
      </c>
      <c r="K102" t="s">
        <v>703</v>
      </c>
      <c r="L102">
        <v>26</v>
      </c>
      <c r="M102" s="12">
        <v>135.74</v>
      </c>
      <c r="N102" s="2">
        <v>38517.963287037041</v>
      </c>
      <c r="O102" s="12"/>
      <c r="Z102" s="11" t="s">
        <v>1422</v>
      </c>
      <c r="AA102" s="11" t="s">
        <v>1423</v>
      </c>
      <c r="AC102" s="11" t="s">
        <v>1587</v>
      </c>
      <c r="AD102" s="11" t="s">
        <v>1463</v>
      </c>
      <c r="AE102" s="11" t="s">
        <v>1588</v>
      </c>
    </row>
    <row r="103" spans="9:31" x14ac:dyDescent="0.25">
      <c r="I103">
        <v>558</v>
      </c>
      <c r="J103" t="s">
        <v>573</v>
      </c>
      <c r="K103" t="s">
        <v>574</v>
      </c>
      <c r="L103">
        <v>28</v>
      </c>
      <c r="M103" s="12">
        <v>135.72</v>
      </c>
      <c r="N103" s="2">
        <v>38520.388796296298</v>
      </c>
      <c r="O103" s="12"/>
      <c r="Z103" s="11" t="s">
        <v>1424</v>
      </c>
      <c r="AA103" s="11" t="s">
        <v>1423</v>
      </c>
      <c r="AC103" s="11" t="s">
        <v>1589</v>
      </c>
      <c r="AD103" s="11" t="s">
        <v>1469</v>
      </c>
      <c r="AE103" s="11" t="s">
        <v>1590</v>
      </c>
    </row>
    <row r="104" spans="9:31" x14ac:dyDescent="0.25">
      <c r="I104">
        <v>448</v>
      </c>
      <c r="J104" t="s">
        <v>477</v>
      </c>
      <c r="K104" t="s">
        <v>478</v>
      </c>
      <c r="L104">
        <v>29</v>
      </c>
      <c r="M104" s="12">
        <v>135.71</v>
      </c>
      <c r="N104" s="2">
        <v>38498.871944444443</v>
      </c>
      <c r="O104" s="12"/>
      <c r="Z104" s="11" t="s">
        <v>1425</v>
      </c>
      <c r="AA104" s="11" t="s">
        <v>1426</v>
      </c>
      <c r="AC104" s="11" t="s">
        <v>1591</v>
      </c>
      <c r="AD104" s="11" t="s">
        <v>1443</v>
      </c>
      <c r="AE104" s="11" t="s">
        <v>1592</v>
      </c>
    </row>
    <row r="105" spans="9:31" x14ac:dyDescent="0.25">
      <c r="I105">
        <v>56</v>
      </c>
      <c r="J105" t="s">
        <v>354</v>
      </c>
      <c r="K105" t="s">
        <v>355</v>
      </c>
      <c r="L105">
        <v>30</v>
      </c>
      <c r="M105" s="12">
        <v>135.69999999999999</v>
      </c>
      <c r="N105" s="2">
        <v>38497.890231481484</v>
      </c>
      <c r="O105" s="12"/>
      <c r="Z105" s="11" t="s">
        <v>1427</v>
      </c>
      <c r="AA105" s="11" t="s">
        <v>1426</v>
      </c>
      <c r="AC105" s="11" t="s">
        <v>1593</v>
      </c>
      <c r="AD105" s="11" t="s">
        <v>1450</v>
      </c>
      <c r="AE105" s="11" t="s">
        <v>1558</v>
      </c>
    </row>
    <row r="106" spans="9:31" x14ac:dyDescent="0.25">
      <c r="I106">
        <v>334</v>
      </c>
      <c r="J106" t="s">
        <v>394</v>
      </c>
      <c r="K106" t="s">
        <v>395</v>
      </c>
      <c r="L106">
        <v>30</v>
      </c>
      <c r="M106" s="12">
        <v>135.69999999999999</v>
      </c>
      <c r="N106" s="2">
        <v>38497.015914351854</v>
      </c>
      <c r="O106" s="12"/>
      <c r="Z106" s="11" t="s">
        <v>1428</v>
      </c>
      <c r="AA106" s="11" t="s">
        <v>1429</v>
      </c>
      <c r="AC106" s="11" t="s">
        <v>1594</v>
      </c>
      <c r="AD106" s="11" t="s">
        <v>1398</v>
      </c>
      <c r="AE106" s="11" t="s">
        <v>1595</v>
      </c>
    </row>
    <row r="107" spans="9:31" x14ac:dyDescent="0.25">
      <c r="I107">
        <v>279</v>
      </c>
      <c r="J107" t="s">
        <v>321</v>
      </c>
      <c r="K107" t="s">
        <v>322</v>
      </c>
      <c r="L107">
        <v>31</v>
      </c>
      <c r="M107" s="12">
        <v>135.69</v>
      </c>
      <c r="N107" s="2">
        <v>38502.900821759256</v>
      </c>
      <c r="O107" s="12"/>
      <c r="Z107" s="11" t="s">
        <v>1430</v>
      </c>
      <c r="AA107" s="11" t="s">
        <v>1429</v>
      </c>
      <c r="AC107" s="11" t="s">
        <v>1596</v>
      </c>
      <c r="AD107" s="11" t="s">
        <v>1455</v>
      </c>
      <c r="AE107" s="11" t="s">
        <v>1481</v>
      </c>
    </row>
    <row r="108" spans="9:31" x14ac:dyDescent="0.25">
      <c r="I108">
        <v>125</v>
      </c>
      <c r="J108" t="s">
        <v>247</v>
      </c>
      <c r="K108" t="s">
        <v>248</v>
      </c>
      <c r="L108">
        <v>32</v>
      </c>
      <c r="M108" s="12">
        <v>135.68</v>
      </c>
      <c r="N108" s="2">
        <v>38498.229201388887</v>
      </c>
      <c r="O108" s="12"/>
      <c r="Z108" s="11" t="s">
        <v>1431</v>
      </c>
      <c r="AA108" s="11" t="s">
        <v>1429</v>
      </c>
      <c r="AC108" s="11" t="s">
        <v>1597</v>
      </c>
      <c r="AD108" s="11" t="s">
        <v>1469</v>
      </c>
      <c r="AE108" s="11" t="s">
        <v>1598</v>
      </c>
    </row>
    <row r="109" spans="9:31" x14ac:dyDescent="0.25">
      <c r="I109">
        <v>535</v>
      </c>
      <c r="J109" t="s">
        <v>297</v>
      </c>
      <c r="K109" t="s">
        <v>298</v>
      </c>
      <c r="L109">
        <v>32</v>
      </c>
      <c r="M109" s="12">
        <v>135.68</v>
      </c>
      <c r="N109" s="2">
        <v>38497.197581018518</v>
      </c>
      <c r="O109" s="12"/>
      <c r="Z109" s="11" t="s">
        <v>1432</v>
      </c>
      <c r="AA109" s="11" t="s">
        <v>1433</v>
      </c>
      <c r="AC109" s="11" t="s">
        <v>1321</v>
      </c>
      <c r="AD109" s="11" t="s">
        <v>1453</v>
      </c>
      <c r="AE109" s="11" t="s">
        <v>1599</v>
      </c>
    </row>
    <row r="110" spans="9:31" x14ac:dyDescent="0.25">
      <c r="I110">
        <v>168</v>
      </c>
      <c r="J110" t="s">
        <v>173</v>
      </c>
      <c r="K110" t="s">
        <v>174</v>
      </c>
      <c r="L110">
        <v>34</v>
      </c>
      <c r="M110" s="12">
        <v>135.66</v>
      </c>
      <c r="N110" s="2">
        <v>38499.563784722224</v>
      </c>
      <c r="O110" s="12"/>
      <c r="Z110" s="11" t="s">
        <v>1434</v>
      </c>
      <c r="AA110" s="11" t="s">
        <v>1435</v>
      </c>
      <c r="AC110" s="11" t="s">
        <v>1600</v>
      </c>
      <c r="AD110" s="11" t="s">
        <v>1446</v>
      </c>
      <c r="AE110" s="11" t="s">
        <v>1521</v>
      </c>
    </row>
    <row r="111" spans="9:31" x14ac:dyDescent="0.25">
      <c r="I111">
        <v>591</v>
      </c>
      <c r="J111" t="s">
        <v>654</v>
      </c>
      <c r="K111" t="s">
        <v>655</v>
      </c>
      <c r="L111">
        <v>27</v>
      </c>
      <c r="M111" s="12">
        <v>134.72999999999999</v>
      </c>
      <c r="N111" s="2">
        <v>38518.744062500002</v>
      </c>
      <c r="O111" s="12"/>
      <c r="Z111" s="11" t="s">
        <v>1436</v>
      </c>
      <c r="AA111" s="11" t="s">
        <v>1435</v>
      </c>
      <c r="AC111" s="11" t="s">
        <v>1601</v>
      </c>
      <c r="AD111" s="11" t="s">
        <v>1410</v>
      </c>
      <c r="AE111" s="11" t="s">
        <v>1602</v>
      </c>
    </row>
    <row r="112" spans="9:31" x14ac:dyDescent="0.25">
      <c r="I112">
        <v>307</v>
      </c>
      <c r="J112" t="s">
        <v>391</v>
      </c>
      <c r="K112" t="s">
        <v>213</v>
      </c>
      <c r="L112">
        <v>30</v>
      </c>
      <c r="M112" s="12">
        <v>134.69999999999999</v>
      </c>
      <c r="N112" s="2">
        <v>38499.615011574075</v>
      </c>
      <c r="O112" s="12"/>
      <c r="AC112" s="11" t="s">
        <v>1603</v>
      </c>
      <c r="AD112" s="11" t="s">
        <v>1474</v>
      </c>
      <c r="AE112" s="11" t="s">
        <v>1489</v>
      </c>
    </row>
    <row r="113" spans="9:31" x14ac:dyDescent="0.25">
      <c r="I113">
        <v>15</v>
      </c>
      <c r="J113" t="s">
        <v>235</v>
      </c>
      <c r="K113" t="s">
        <v>236</v>
      </c>
      <c r="L113">
        <v>32</v>
      </c>
      <c r="M113" s="12">
        <v>134.68</v>
      </c>
      <c r="N113" s="2">
        <v>38521.893703703703</v>
      </c>
      <c r="O113" s="12"/>
      <c r="AC113" s="11" t="s">
        <v>1604</v>
      </c>
      <c r="AD113" s="11" t="s">
        <v>1435</v>
      </c>
      <c r="AE113" s="11" t="s">
        <v>1605</v>
      </c>
    </row>
    <row r="114" spans="9:31" x14ac:dyDescent="0.25">
      <c r="I114">
        <v>89</v>
      </c>
      <c r="J114" t="s">
        <v>241</v>
      </c>
      <c r="K114" t="s">
        <v>242</v>
      </c>
      <c r="L114">
        <v>32</v>
      </c>
      <c r="M114" s="12">
        <v>134.68</v>
      </c>
      <c r="N114" s="2">
        <v>38497.982557870368</v>
      </c>
      <c r="O114" s="12"/>
      <c r="AC114" s="11" t="s">
        <v>1319</v>
      </c>
      <c r="AD114" s="11" t="s">
        <v>1426</v>
      </c>
      <c r="AE114" s="11" t="s">
        <v>1606</v>
      </c>
    </row>
    <row r="115" spans="9:31" x14ac:dyDescent="0.25">
      <c r="I115">
        <v>520</v>
      </c>
      <c r="J115" t="s">
        <v>293</v>
      </c>
      <c r="K115" t="s">
        <v>294</v>
      </c>
      <c r="L115">
        <v>32</v>
      </c>
      <c r="M115" s="12">
        <v>134.68</v>
      </c>
      <c r="N115" s="2">
        <v>38502.781446759262</v>
      </c>
      <c r="O115" s="12"/>
      <c r="AC115" s="11" t="s">
        <v>1607</v>
      </c>
      <c r="AD115" s="11" t="s">
        <v>1474</v>
      </c>
      <c r="AE115" s="11" t="s">
        <v>1608</v>
      </c>
    </row>
    <row r="116" spans="9:31" x14ac:dyDescent="0.25">
      <c r="I116">
        <v>569</v>
      </c>
      <c r="J116" t="s">
        <v>301</v>
      </c>
      <c r="K116" t="s">
        <v>302</v>
      </c>
      <c r="L116">
        <v>32</v>
      </c>
      <c r="M116" s="12">
        <v>134.68</v>
      </c>
      <c r="N116" s="2">
        <v>38497.305046296293</v>
      </c>
      <c r="O116" s="12"/>
      <c r="AC116" s="11" t="s">
        <v>1609</v>
      </c>
      <c r="AD116" s="11" t="s">
        <v>1423</v>
      </c>
      <c r="AE116" s="11" t="s">
        <v>1475</v>
      </c>
    </row>
    <row r="117" spans="9:31" x14ac:dyDescent="0.25">
      <c r="I117">
        <v>438</v>
      </c>
      <c r="J117" t="s">
        <v>222</v>
      </c>
      <c r="K117" t="s">
        <v>223</v>
      </c>
      <c r="L117">
        <v>33</v>
      </c>
      <c r="M117" s="12">
        <v>134.66999999999999</v>
      </c>
      <c r="N117" s="2">
        <v>38497.111354166664</v>
      </c>
      <c r="O117" s="12"/>
      <c r="AC117" s="11" t="s">
        <v>1610</v>
      </c>
      <c r="AD117" s="11" t="s">
        <v>1459</v>
      </c>
      <c r="AE117" s="11" t="s">
        <v>1611</v>
      </c>
    </row>
    <row r="118" spans="9:31" x14ac:dyDescent="0.25">
      <c r="I118">
        <v>473</v>
      </c>
      <c r="J118" t="s">
        <v>189</v>
      </c>
      <c r="K118" t="s">
        <v>190</v>
      </c>
      <c r="L118">
        <v>34</v>
      </c>
      <c r="M118" s="12">
        <v>134.66</v>
      </c>
      <c r="N118" s="2">
        <v>38499.202037037037</v>
      </c>
      <c r="O118" s="12"/>
      <c r="AC118" s="11" t="s">
        <v>1317</v>
      </c>
      <c r="AD118" s="11" t="s">
        <v>1435</v>
      </c>
      <c r="AE118" s="11" t="s">
        <v>1612</v>
      </c>
    </row>
    <row r="119" spans="9:31" x14ac:dyDescent="0.25">
      <c r="I119">
        <v>433</v>
      </c>
      <c r="J119" t="s">
        <v>818</v>
      </c>
      <c r="K119" t="s">
        <v>819</v>
      </c>
      <c r="L119">
        <v>25</v>
      </c>
      <c r="M119" s="12">
        <v>133.75</v>
      </c>
      <c r="N119" s="2">
        <v>38498.004988425928</v>
      </c>
      <c r="O119" s="12"/>
      <c r="AC119" s="11" t="s">
        <v>1613</v>
      </c>
      <c r="AD119" s="11" t="s">
        <v>1426</v>
      </c>
      <c r="AE119" s="11" t="s">
        <v>1614</v>
      </c>
    </row>
    <row r="120" spans="9:31" x14ac:dyDescent="0.25">
      <c r="I120">
        <v>59</v>
      </c>
      <c r="J120" t="s">
        <v>594</v>
      </c>
      <c r="K120" t="s">
        <v>595</v>
      </c>
      <c r="L120">
        <v>27</v>
      </c>
      <c r="M120" s="12">
        <v>133.72999999999999</v>
      </c>
      <c r="N120" s="2">
        <v>38498.357418981483</v>
      </c>
      <c r="O120" s="12"/>
      <c r="AC120" s="11" t="s">
        <v>1615</v>
      </c>
      <c r="AD120" s="11" t="s">
        <v>1469</v>
      </c>
      <c r="AE120" s="11" t="s">
        <v>1616</v>
      </c>
    </row>
    <row r="121" spans="9:31" x14ac:dyDescent="0.25">
      <c r="I121">
        <v>92</v>
      </c>
      <c r="J121" t="s">
        <v>518</v>
      </c>
      <c r="K121" t="s">
        <v>519</v>
      </c>
      <c r="L121">
        <v>28</v>
      </c>
      <c r="M121" s="12">
        <v>133.72</v>
      </c>
      <c r="N121" s="2">
        <v>38498.681956018518</v>
      </c>
      <c r="O121" s="12"/>
      <c r="AC121" s="11" t="s">
        <v>1617</v>
      </c>
      <c r="AD121" s="11" t="s">
        <v>1457</v>
      </c>
      <c r="AE121" s="11" t="s">
        <v>1618</v>
      </c>
    </row>
    <row r="122" spans="9:31" x14ac:dyDescent="0.25">
      <c r="I122">
        <v>504</v>
      </c>
      <c r="J122" t="s">
        <v>569</v>
      </c>
      <c r="K122" t="s">
        <v>570</v>
      </c>
      <c r="L122">
        <v>28</v>
      </c>
      <c r="M122" s="12">
        <v>133.72</v>
      </c>
      <c r="N122" s="2">
        <v>38497.918402777781</v>
      </c>
      <c r="O122" s="12"/>
      <c r="AC122" s="11" t="s">
        <v>1619</v>
      </c>
      <c r="AD122" s="11" t="s">
        <v>1452</v>
      </c>
      <c r="AE122" s="11" t="s">
        <v>1449</v>
      </c>
    </row>
    <row r="123" spans="9:31" x14ac:dyDescent="0.25">
      <c r="I123">
        <v>179</v>
      </c>
      <c r="J123" t="s">
        <v>450</v>
      </c>
      <c r="K123" t="s">
        <v>451</v>
      </c>
      <c r="L123">
        <v>29</v>
      </c>
      <c r="M123" s="12">
        <v>133.71</v>
      </c>
      <c r="N123" s="2">
        <v>38500.065775462965</v>
      </c>
      <c r="O123" s="12"/>
      <c r="AC123" s="11" t="s">
        <v>1620</v>
      </c>
      <c r="AD123" s="11" t="s">
        <v>1459</v>
      </c>
      <c r="AE123" s="11" t="s">
        <v>1621</v>
      </c>
    </row>
    <row r="124" spans="9:31" x14ac:dyDescent="0.25">
      <c r="I124">
        <v>265</v>
      </c>
      <c r="J124" t="s">
        <v>456</v>
      </c>
      <c r="K124" t="s">
        <v>452</v>
      </c>
      <c r="L124">
        <v>29</v>
      </c>
      <c r="M124" s="12">
        <v>133.71</v>
      </c>
      <c r="N124" s="2">
        <v>38497.465138888889</v>
      </c>
      <c r="O124" s="12"/>
      <c r="AC124" s="11" t="s">
        <v>1622</v>
      </c>
      <c r="AD124" s="11" t="s">
        <v>1398</v>
      </c>
      <c r="AE124" s="11" t="s">
        <v>1623</v>
      </c>
    </row>
    <row r="125" spans="9:31" x14ac:dyDescent="0.25">
      <c r="I125">
        <v>112</v>
      </c>
      <c r="J125" t="s">
        <v>368</v>
      </c>
      <c r="K125" t="s">
        <v>369</v>
      </c>
      <c r="L125">
        <v>30</v>
      </c>
      <c r="M125" s="12">
        <v>133.69999999999999</v>
      </c>
      <c r="N125" s="2">
        <v>38499.491018518522</v>
      </c>
      <c r="O125" s="12"/>
      <c r="AC125" s="11" t="s">
        <v>1624</v>
      </c>
      <c r="AD125" s="11" t="s">
        <v>1453</v>
      </c>
      <c r="AE125" s="11" t="s">
        <v>1625</v>
      </c>
    </row>
    <row r="126" spans="9:31" x14ac:dyDescent="0.25">
      <c r="I126">
        <v>221</v>
      </c>
      <c r="J126" t="s">
        <v>532</v>
      </c>
      <c r="K126" t="s">
        <v>533</v>
      </c>
      <c r="L126">
        <v>28</v>
      </c>
      <c r="M126" s="12">
        <v>132.72</v>
      </c>
      <c r="N126" s="2">
        <v>38498.447268518517</v>
      </c>
      <c r="O126" s="12"/>
      <c r="AC126" s="11" t="s">
        <v>1626</v>
      </c>
      <c r="AD126" s="11" t="s">
        <v>1423</v>
      </c>
      <c r="AE126" s="11" t="s">
        <v>1590</v>
      </c>
    </row>
    <row r="127" spans="9:31" x14ac:dyDescent="0.25">
      <c r="I127">
        <v>316</v>
      </c>
      <c r="J127" t="s">
        <v>463</v>
      </c>
      <c r="K127" t="s">
        <v>464</v>
      </c>
      <c r="L127">
        <v>29</v>
      </c>
      <c r="M127" s="12">
        <v>132.71</v>
      </c>
      <c r="N127" s="2">
        <v>38497.029988425929</v>
      </c>
      <c r="O127" s="12"/>
      <c r="AC127" s="11" t="s">
        <v>1627</v>
      </c>
      <c r="AD127" s="11" t="s">
        <v>1423</v>
      </c>
      <c r="AE127" s="11" t="s">
        <v>1505</v>
      </c>
    </row>
    <row r="128" spans="9:31" x14ac:dyDescent="0.25">
      <c r="I128">
        <v>108</v>
      </c>
      <c r="J128" t="s">
        <v>366</v>
      </c>
      <c r="K128" t="s">
        <v>367</v>
      </c>
      <c r="L128">
        <v>30</v>
      </c>
      <c r="M128" s="12">
        <v>132.69999999999999</v>
      </c>
      <c r="N128" s="2">
        <v>38497.745972222219</v>
      </c>
      <c r="O128" s="12"/>
      <c r="AC128" s="11" t="s">
        <v>1628</v>
      </c>
      <c r="AD128" s="11" t="s">
        <v>1453</v>
      </c>
      <c r="AE128" s="11" t="s">
        <v>1475</v>
      </c>
    </row>
    <row r="129" spans="9:31" x14ac:dyDescent="0.25">
      <c r="I129">
        <v>319</v>
      </c>
      <c r="J129" t="s">
        <v>392</v>
      </c>
      <c r="K129" t="s">
        <v>393</v>
      </c>
      <c r="L129">
        <v>30</v>
      </c>
      <c r="M129" s="12">
        <v>132.69999999999999</v>
      </c>
      <c r="N129" s="2">
        <v>38497.027337962965</v>
      </c>
      <c r="O129" s="12"/>
      <c r="AC129" s="11" t="s">
        <v>1629</v>
      </c>
      <c r="AD129" s="11" t="s">
        <v>1466</v>
      </c>
      <c r="AE129" s="11" t="s">
        <v>1630</v>
      </c>
    </row>
    <row r="130" spans="9:31" x14ac:dyDescent="0.25">
      <c r="I130">
        <v>560</v>
      </c>
      <c r="J130" t="s">
        <v>426</v>
      </c>
      <c r="K130" t="s">
        <v>427</v>
      </c>
      <c r="L130">
        <v>30</v>
      </c>
      <c r="M130" s="12">
        <v>132.69999999999999</v>
      </c>
      <c r="N130" s="2">
        <v>38497.934236111112</v>
      </c>
      <c r="O130" s="12"/>
      <c r="AC130" s="11" t="s">
        <v>1313</v>
      </c>
      <c r="AD130" s="11" t="s">
        <v>1466</v>
      </c>
      <c r="AE130" s="11" t="s">
        <v>1631</v>
      </c>
    </row>
    <row r="131" spans="9:31" x14ac:dyDescent="0.25">
      <c r="I131">
        <v>245</v>
      </c>
      <c r="J131" t="s">
        <v>263</v>
      </c>
      <c r="K131" t="s">
        <v>264</v>
      </c>
      <c r="L131">
        <v>32</v>
      </c>
      <c r="M131" s="12">
        <v>132.68</v>
      </c>
      <c r="N131" s="2">
        <v>38497.507719907408</v>
      </c>
      <c r="O131" s="12"/>
      <c r="AC131" s="11" t="s">
        <v>1311</v>
      </c>
      <c r="AD131" s="11" t="s">
        <v>1410</v>
      </c>
      <c r="AE131" s="11" t="s">
        <v>1632</v>
      </c>
    </row>
    <row r="132" spans="9:31" x14ac:dyDescent="0.25">
      <c r="I132">
        <v>13</v>
      </c>
      <c r="J132" t="s">
        <v>584</v>
      </c>
      <c r="K132" t="s">
        <v>585</v>
      </c>
      <c r="L132">
        <v>27</v>
      </c>
      <c r="M132" s="12">
        <v>131.72999999999999</v>
      </c>
      <c r="N132" s="2">
        <v>38520.287986111114</v>
      </c>
      <c r="O132" s="12"/>
      <c r="AC132" s="11" t="s">
        <v>1633</v>
      </c>
      <c r="AD132" s="11" t="s">
        <v>1457</v>
      </c>
      <c r="AE132" s="11" t="s">
        <v>1634</v>
      </c>
    </row>
    <row r="133" spans="9:31" x14ac:dyDescent="0.25">
      <c r="I133">
        <v>299</v>
      </c>
      <c r="J133" t="s">
        <v>357</v>
      </c>
      <c r="K133" t="s">
        <v>390</v>
      </c>
      <c r="L133">
        <v>30</v>
      </c>
      <c r="M133" s="12">
        <v>131.69999999999999</v>
      </c>
      <c r="N133" s="2">
        <v>38499.102199074077</v>
      </c>
      <c r="O133" s="12"/>
      <c r="AC133" s="11" t="s">
        <v>1309</v>
      </c>
      <c r="AD133" s="11" t="s">
        <v>1455</v>
      </c>
      <c r="AE133" s="11" t="s">
        <v>1635</v>
      </c>
    </row>
    <row r="134" spans="9:31" x14ac:dyDescent="0.25">
      <c r="I134">
        <v>314</v>
      </c>
      <c r="J134" t="s">
        <v>214</v>
      </c>
      <c r="K134" t="s">
        <v>219</v>
      </c>
      <c r="L134">
        <v>33</v>
      </c>
      <c r="M134" s="12">
        <v>131.66999999999999</v>
      </c>
      <c r="N134" s="2">
        <v>38497.508414351854</v>
      </c>
      <c r="O134" s="12"/>
      <c r="AC134" s="11" t="s">
        <v>1636</v>
      </c>
      <c r="AD134" s="11" t="s">
        <v>1453</v>
      </c>
      <c r="AE134" s="11" t="s">
        <v>1637</v>
      </c>
    </row>
    <row r="135" spans="9:31" x14ac:dyDescent="0.25">
      <c r="I135">
        <v>82</v>
      </c>
      <c r="J135" t="s">
        <v>664</v>
      </c>
      <c r="K135" t="s">
        <v>665</v>
      </c>
      <c r="L135">
        <v>26</v>
      </c>
      <c r="M135" s="12">
        <v>130.74</v>
      </c>
      <c r="N135" s="2">
        <v>38497.999340277776</v>
      </c>
      <c r="O135" s="12"/>
      <c r="AC135" s="11" t="s">
        <v>1638</v>
      </c>
      <c r="AD135" s="11" t="s">
        <v>1433</v>
      </c>
      <c r="AE135" s="11" t="s">
        <v>1639</v>
      </c>
    </row>
    <row r="136" spans="9:31" x14ac:dyDescent="0.25">
      <c r="I136">
        <v>594</v>
      </c>
      <c r="J136" t="s">
        <v>656</v>
      </c>
      <c r="K136" t="s">
        <v>657</v>
      </c>
      <c r="L136">
        <v>27</v>
      </c>
      <c r="M136" s="12">
        <v>130.72999999999999</v>
      </c>
      <c r="N136" s="2">
        <v>38498.955775462964</v>
      </c>
      <c r="O136" s="12"/>
      <c r="AC136" s="11" t="s">
        <v>1640</v>
      </c>
      <c r="AD136" s="11" t="s">
        <v>1433</v>
      </c>
      <c r="AE136" s="11" t="s">
        <v>1641</v>
      </c>
    </row>
    <row r="137" spans="9:31" x14ac:dyDescent="0.25">
      <c r="I137">
        <v>49</v>
      </c>
      <c r="J137" t="s">
        <v>510</v>
      </c>
      <c r="K137" t="s">
        <v>511</v>
      </c>
      <c r="L137">
        <v>28</v>
      </c>
      <c r="M137" s="12">
        <v>130.72</v>
      </c>
      <c r="N137" s="2">
        <v>38497.689108796294</v>
      </c>
      <c r="O137" s="12"/>
      <c r="AC137" s="11" t="s">
        <v>1642</v>
      </c>
      <c r="AD137" s="11" t="s">
        <v>1469</v>
      </c>
      <c r="AE137" s="11" t="s">
        <v>1643</v>
      </c>
    </row>
    <row r="138" spans="9:31" x14ac:dyDescent="0.25">
      <c r="I138">
        <v>154</v>
      </c>
      <c r="J138" t="s">
        <v>376</v>
      </c>
      <c r="K138" t="s">
        <v>377</v>
      </c>
      <c r="L138">
        <v>30</v>
      </c>
      <c r="M138" s="12">
        <v>130.69999999999999</v>
      </c>
      <c r="N138" s="2">
        <v>38499.885023148148</v>
      </c>
      <c r="O138" s="12"/>
      <c r="AC138" s="11" t="s">
        <v>1307</v>
      </c>
      <c r="AD138" s="11" t="s">
        <v>1429</v>
      </c>
      <c r="AE138" s="11" t="s">
        <v>1644</v>
      </c>
    </row>
    <row r="139" spans="9:31" x14ac:dyDescent="0.25">
      <c r="I139">
        <v>141</v>
      </c>
      <c r="J139" t="s">
        <v>251</v>
      </c>
      <c r="K139" t="s">
        <v>252</v>
      </c>
      <c r="L139">
        <v>32</v>
      </c>
      <c r="M139" s="12">
        <v>130.68</v>
      </c>
      <c r="N139" s="2">
        <v>38502.531215277777</v>
      </c>
      <c r="O139" s="12"/>
      <c r="AC139" s="11" t="s">
        <v>1645</v>
      </c>
      <c r="AD139" s="11" t="s">
        <v>1429</v>
      </c>
      <c r="AE139" s="11" t="s">
        <v>1464</v>
      </c>
    </row>
    <row r="140" spans="9:31" x14ac:dyDescent="0.25">
      <c r="I140">
        <v>342</v>
      </c>
      <c r="J140" t="s">
        <v>275</v>
      </c>
      <c r="K140" t="s">
        <v>276</v>
      </c>
      <c r="L140">
        <v>32</v>
      </c>
      <c r="M140" s="12">
        <v>130.68</v>
      </c>
      <c r="N140" s="2">
        <v>38521.062395833331</v>
      </c>
      <c r="O140" s="12"/>
      <c r="AC140" s="11" t="s">
        <v>1646</v>
      </c>
      <c r="AD140" s="11" t="s">
        <v>1466</v>
      </c>
      <c r="AE140" s="11" t="s">
        <v>1647</v>
      </c>
    </row>
    <row r="141" spans="9:31" x14ac:dyDescent="0.25">
      <c r="I141">
        <v>497</v>
      </c>
      <c r="J141" t="s">
        <v>216</v>
      </c>
      <c r="K141" t="s">
        <v>566</v>
      </c>
      <c r="L141">
        <v>28</v>
      </c>
      <c r="M141" s="12">
        <v>129.72</v>
      </c>
      <c r="N141" s="2">
        <v>38503.585659722223</v>
      </c>
      <c r="O141" s="12"/>
      <c r="AC141" s="11" t="s">
        <v>1648</v>
      </c>
      <c r="AD141" s="11" t="s">
        <v>1457</v>
      </c>
      <c r="AE141" s="11" t="s">
        <v>1649</v>
      </c>
    </row>
    <row r="142" spans="9:31" x14ac:dyDescent="0.25">
      <c r="I142">
        <v>589</v>
      </c>
      <c r="J142" t="s">
        <v>366</v>
      </c>
      <c r="K142" t="s">
        <v>579</v>
      </c>
      <c r="L142">
        <v>28</v>
      </c>
      <c r="M142" s="12">
        <v>129.72</v>
      </c>
      <c r="N142" s="2">
        <v>38500.224745370368</v>
      </c>
      <c r="O142" s="12"/>
      <c r="AC142" s="11" t="s">
        <v>1650</v>
      </c>
      <c r="AD142" s="11" t="s">
        <v>1433</v>
      </c>
      <c r="AE142" s="11" t="s">
        <v>1651</v>
      </c>
    </row>
    <row r="143" spans="9:31" x14ac:dyDescent="0.25">
      <c r="I143">
        <v>71</v>
      </c>
      <c r="J143" t="s">
        <v>356</v>
      </c>
      <c r="K143" t="s">
        <v>357</v>
      </c>
      <c r="L143">
        <v>30</v>
      </c>
      <c r="M143" s="12">
        <v>129.69999999999999</v>
      </c>
      <c r="N143" s="2">
        <v>38498.299976851849</v>
      </c>
      <c r="O143" s="12"/>
      <c r="AC143" s="11" t="s">
        <v>1652</v>
      </c>
      <c r="AD143" s="11" t="s">
        <v>1453</v>
      </c>
      <c r="AE143" s="11" t="s">
        <v>1482</v>
      </c>
    </row>
    <row r="144" spans="9:31" x14ac:dyDescent="0.25">
      <c r="I144">
        <v>269</v>
      </c>
      <c r="J144" t="s">
        <v>382</v>
      </c>
      <c r="K144" t="s">
        <v>383</v>
      </c>
      <c r="L144">
        <v>30</v>
      </c>
      <c r="M144" s="12">
        <v>129.69999999999999</v>
      </c>
      <c r="N144" s="2">
        <v>38496.966585648152</v>
      </c>
      <c r="O144" s="12"/>
      <c r="AC144" s="11" t="s">
        <v>1653</v>
      </c>
      <c r="AD144" s="11" t="s">
        <v>1474</v>
      </c>
      <c r="AE144" s="11" t="s">
        <v>1654</v>
      </c>
    </row>
    <row r="145" spans="9:31" x14ac:dyDescent="0.25">
      <c r="I145">
        <v>296</v>
      </c>
      <c r="J145" t="s">
        <v>388</v>
      </c>
      <c r="K145" t="s">
        <v>389</v>
      </c>
      <c r="L145">
        <v>30</v>
      </c>
      <c r="M145" s="12">
        <v>129.69999999999999</v>
      </c>
      <c r="N145" s="2">
        <v>38498.084780092591</v>
      </c>
      <c r="O145" s="12"/>
      <c r="AC145" s="11" t="s">
        <v>1655</v>
      </c>
      <c r="AD145" s="11" t="s">
        <v>1466</v>
      </c>
      <c r="AE145" s="11" t="s">
        <v>1656</v>
      </c>
    </row>
    <row r="146" spans="9:31" x14ac:dyDescent="0.25">
      <c r="I146">
        <v>584</v>
      </c>
      <c r="J146" t="s">
        <v>428</v>
      </c>
      <c r="K146" t="s">
        <v>429</v>
      </c>
      <c r="L146">
        <v>30</v>
      </c>
      <c r="M146" s="12">
        <v>129.69999999999999</v>
      </c>
      <c r="N146" s="2">
        <v>38499.392731481479</v>
      </c>
      <c r="O146" s="12"/>
      <c r="AC146" s="11" t="s">
        <v>1657</v>
      </c>
      <c r="AD146" s="11" t="s">
        <v>1455</v>
      </c>
      <c r="AE146" s="11" t="s">
        <v>1658</v>
      </c>
    </row>
    <row r="147" spans="9:31" x14ac:dyDescent="0.25">
      <c r="I147">
        <v>35</v>
      </c>
      <c r="J147" t="s">
        <v>239</v>
      </c>
      <c r="K147" t="s">
        <v>240</v>
      </c>
      <c r="L147">
        <v>32</v>
      </c>
      <c r="M147" s="12">
        <v>129.68</v>
      </c>
      <c r="N147" s="2">
        <v>38497.253703703704</v>
      </c>
      <c r="O147" s="12"/>
      <c r="AC147" s="11" t="s">
        <v>1659</v>
      </c>
      <c r="AD147" s="11" t="s">
        <v>1466</v>
      </c>
      <c r="AE147" s="11" t="s">
        <v>1660</v>
      </c>
    </row>
    <row r="148" spans="9:31" x14ac:dyDescent="0.25">
      <c r="I148">
        <v>244</v>
      </c>
      <c r="J148" t="s">
        <v>261</v>
      </c>
      <c r="K148" t="s">
        <v>262</v>
      </c>
      <c r="L148">
        <v>32</v>
      </c>
      <c r="M148" s="12">
        <v>129.68</v>
      </c>
      <c r="N148" s="2">
        <v>38500.556342592594</v>
      </c>
      <c r="O148" s="12"/>
      <c r="AC148" s="11" t="s">
        <v>1661</v>
      </c>
      <c r="AD148" s="11" t="s">
        <v>1418</v>
      </c>
      <c r="AE148" s="11" t="s">
        <v>1662</v>
      </c>
    </row>
    <row r="149" spans="9:31" x14ac:dyDescent="0.25">
      <c r="I149">
        <v>354</v>
      </c>
      <c r="J149" t="s">
        <v>103</v>
      </c>
      <c r="K149" t="s">
        <v>104</v>
      </c>
      <c r="L149">
        <v>36</v>
      </c>
      <c r="M149" s="12">
        <v>129.63999999999999</v>
      </c>
      <c r="N149" s="2">
        <v>38497.982199074075</v>
      </c>
      <c r="O149" s="12"/>
      <c r="AC149" s="11" t="s">
        <v>1663</v>
      </c>
      <c r="AD149" s="11" t="s">
        <v>1435</v>
      </c>
      <c r="AE149" s="11" t="s">
        <v>1664</v>
      </c>
    </row>
    <row r="150" spans="9:31" x14ac:dyDescent="0.25">
      <c r="I150">
        <v>2</v>
      </c>
      <c r="J150" t="s">
        <v>582</v>
      </c>
      <c r="K150" t="s">
        <v>583</v>
      </c>
      <c r="L150">
        <v>27</v>
      </c>
      <c r="M150" s="12">
        <v>128.72999999999999</v>
      </c>
      <c r="N150" s="2">
        <v>38499.006527777776</v>
      </c>
      <c r="O150" s="12"/>
      <c r="AC150" s="11" t="s">
        <v>1665</v>
      </c>
      <c r="AD150" s="11" t="s">
        <v>1443</v>
      </c>
      <c r="AE150" s="11" t="s">
        <v>1666</v>
      </c>
    </row>
    <row r="151" spans="9:31" x14ac:dyDescent="0.25">
      <c r="I151">
        <v>434</v>
      </c>
      <c r="J151" t="s">
        <v>638</v>
      </c>
      <c r="K151" t="s">
        <v>639</v>
      </c>
      <c r="L151">
        <v>27</v>
      </c>
      <c r="M151" s="12">
        <v>128.72999999999999</v>
      </c>
      <c r="N151" s="2">
        <v>38500.111689814818</v>
      </c>
      <c r="O151" s="12"/>
      <c r="AC151" s="11" t="s">
        <v>1667</v>
      </c>
      <c r="AD151" s="11" t="s">
        <v>1461</v>
      </c>
      <c r="AE151" s="11" t="s">
        <v>1668</v>
      </c>
    </row>
    <row r="152" spans="9:31" x14ac:dyDescent="0.25">
      <c r="I152">
        <v>322</v>
      </c>
      <c r="J152" t="s">
        <v>548</v>
      </c>
      <c r="K152" t="s">
        <v>549</v>
      </c>
      <c r="L152">
        <v>28</v>
      </c>
      <c r="M152" s="12">
        <v>128.72</v>
      </c>
      <c r="N152" s="2">
        <v>38498.117488425924</v>
      </c>
      <c r="O152" s="12"/>
      <c r="AC152" s="11" t="s">
        <v>1305</v>
      </c>
      <c r="AD152" s="11" t="s">
        <v>1474</v>
      </c>
      <c r="AE152" s="11" t="s">
        <v>1669</v>
      </c>
    </row>
    <row r="153" spans="9:31" x14ac:dyDescent="0.25">
      <c r="I153">
        <v>54</v>
      </c>
      <c r="J153" t="s">
        <v>440</v>
      </c>
      <c r="K153" t="s">
        <v>441</v>
      </c>
      <c r="L153">
        <v>29</v>
      </c>
      <c r="M153" s="12">
        <v>128.71</v>
      </c>
      <c r="N153" s="2">
        <v>38498.294317129628</v>
      </c>
      <c r="O153" s="12"/>
      <c r="AC153" s="11" t="s">
        <v>1303</v>
      </c>
      <c r="AD153" s="11" t="s">
        <v>1406</v>
      </c>
      <c r="AE153" s="11" t="s">
        <v>1670</v>
      </c>
    </row>
    <row r="154" spans="9:31" x14ac:dyDescent="0.25">
      <c r="I154">
        <v>131</v>
      </c>
      <c r="J154" t="s">
        <v>372</v>
      </c>
      <c r="K154" t="s">
        <v>373</v>
      </c>
      <c r="L154">
        <v>30</v>
      </c>
      <c r="M154" s="12">
        <v>128.69999999999999</v>
      </c>
      <c r="N154" s="2">
        <v>38497.351539351854</v>
      </c>
      <c r="O154" s="12"/>
      <c r="AC154" s="11" t="s">
        <v>1671</v>
      </c>
      <c r="AD154" s="11" t="s">
        <v>1474</v>
      </c>
      <c r="AE154" s="11" t="s">
        <v>1672</v>
      </c>
    </row>
    <row r="155" spans="9:31" x14ac:dyDescent="0.25">
      <c r="I155">
        <v>297</v>
      </c>
      <c r="J155" t="s">
        <v>217</v>
      </c>
      <c r="K155" t="s">
        <v>218</v>
      </c>
      <c r="L155">
        <v>33</v>
      </c>
      <c r="M155" s="12">
        <v>128.66999999999999</v>
      </c>
      <c r="N155" s="2">
        <v>38497.990185185183</v>
      </c>
      <c r="O155" s="12"/>
      <c r="AC155" s="11" t="s">
        <v>1301</v>
      </c>
      <c r="AD155" s="11" t="s">
        <v>1443</v>
      </c>
      <c r="AE155" s="11" t="s">
        <v>1673</v>
      </c>
    </row>
    <row r="156" spans="9:31" x14ac:dyDescent="0.25">
      <c r="I156">
        <v>451</v>
      </c>
      <c r="J156" t="s">
        <v>224</v>
      </c>
      <c r="K156" t="s">
        <v>225</v>
      </c>
      <c r="L156">
        <v>33</v>
      </c>
      <c r="M156" s="12">
        <v>128.66999999999999</v>
      </c>
      <c r="N156" s="2">
        <v>38497.480543981481</v>
      </c>
      <c r="O156" s="12"/>
      <c r="AC156" s="11" t="s">
        <v>1674</v>
      </c>
      <c r="AD156" s="11" t="s">
        <v>1418</v>
      </c>
      <c r="AE156" s="11" t="s">
        <v>1675</v>
      </c>
    </row>
    <row r="157" spans="9:31" x14ac:dyDescent="0.25">
      <c r="I157">
        <v>508</v>
      </c>
      <c r="J157" t="s">
        <v>830</v>
      </c>
      <c r="K157" t="s">
        <v>831</v>
      </c>
      <c r="L157">
        <v>25</v>
      </c>
      <c r="M157" s="12">
        <v>127.75</v>
      </c>
      <c r="N157" s="2">
        <v>38499.324178240742</v>
      </c>
      <c r="O157" s="12"/>
      <c r="AC157" s="11" t="s">
        <v>1676</v>
      </c>
      <c r="AD157" s="11" t="s">
        <v>1457</v>
      </c>
      <c r="AE157" s="11" t="s">
        <v>1634</v>
      </c>
    </row>
    <row r="158" spans="9:31" x14ac:dyDescent="0.25">
      <c r="I158">
        <v>45</v>
      </c>
      <c r="J158" t="s">
        <v>590</v>
      </c>
      <c r="K158" t="s">
        <v>591</v>
      </c>
      <c r="L158">
        <v>27</v>
      </c>
      <c r="M158" s="12">
        <v>127.73</v>
      </c>
      <c r="N158" s="2">
        <v>38498.730682870373</v>
      </c>
      <c r="O158" s="12"/>
      <c r="AC158" s="11" t="s">
        <v>1677</v>
      </c>
      <c r="AD158" s="11" t="s">
        <v>1453</v>
      </c>
      <c r="AE158" s="11" t="s">
        <v>1678</v>
      </c>
    </row>
    <row r="159" spans="9:31" x14ac:dyDescent="0.25">
      <c r="I159">
        <v>32</v>
      </c>
      <c r="J159" t="s">
        <v>434</v>
      </c>
      <c r="K159" t="s">
        <v>435</v>
      </c>
      <c r="L159">
        <v>29</v>
      </c>
      <c r="M159" s="12">
        <v>127.71</v>
      </c>
      <c r="N159" s="2">
        <v>38499.958622685182</v>
      </c>
      <c r="O159" s="12"/>
      <c r="AC159" s="11" t="s">
        <v>1679</v>
      </c>
      <c r="AD159" s="11" t="s">
        <v>1469</v>
      </c>
      <c r="AE159" s="11" t="s">
        <v>1643</v>
      </c>
    </row>
    <row r="160" spans="9:31" x14ac:dyDescent="0.25">
      <c r="I160">
        <v>253</v>
      </c>
      <c r="J160" t="s">
        <v>452</v>
      </c>
      <c r="K160" t="s">
        <v>453</v>
      </c>
      <c r="L160">
        <v>29</v>
      </c>
      <c r="M160" s="12">
        <v>127.71</v>
      </c>
      <c r="N160" s="2">
        <v>38500.410868055558</v>
      </c>
      <c r="O160" s="12"/>
      <c r="AC160" s="11" t="s">
        <v>1680</v>
      </c>
      <c r="AD160" s="11" t="s">
        <v>1423</v>
      </c>
      <c r="AE160" s="11" t="s">
        <v>1583</v>
      </c>
    </row>
    <row r="161" spans="9:31" x14ac:dyDescent="0.25">
      <c r="I161">
        <v>302</v>
      </c>
      <c r="J161" t="s">
        <v>461</v>
      </c>
      <c r="K161" t="s">
        <v>462</v>
      </c>
      <c r="L161">
        <v>29</v>
      </c>
      <c r="M161" s="12">
        <v>127.71</v>
      </c>
      <c r="N161" s="2">
        <v>38497.199814814812</v>
      </c>
      <c r="O161" s="12"/>
      <c r="AC161" s="11" t="s">
        <v>1681</v>
      </c>
      <c r="AD161" s="11" t="s">
        <v>1413</v>
      </c>
      <c r="AE161" s="11" t="s">
        <v>1682</v>
      </c>
    </row>
    <row r="162" spans="9:31" x14ac:dyDescent="0.25">
      <c r="I162">
        <v>339</v>
      </c>
      <c r="J162" t="s">
        <v>398</v>
      </c>
      <c r="K162" t="s">
        <v>399</v>
      </c>
      <c r="L162">
        <v>30</v>
      </c>
      <c r="M162" s="12">
        <v>127.7</v>
      </c>
      <c r="N162" s="2">
        <v>38502.237060185187</v>
      </c>
      <c r="O162" s="12"/>
      <c r="AC162" s="11" t="s">
        <v>1683</v>
      </c>
      <c r="AD162" s="11" t="s">
        <v>1452</v>
      </c>
      <c r="AE162" s="11" t="s">
        <v>1664</v>
      </c>
    </row>
    <row r="163" spans="9:31" x14ac:dyDescent="0.25">
      <c r="I163">
        <v>128</v>
      </c>
      <c r="J163" t="s">
        <v>249</v>
      </c>
      <c r="K163" t="s">
        <v>250</v>
      </c>
      <c r="L163">
        <v>32</v>
      </c>
      <c r="M163" s="12">
        <v>127.68</v>
      </c>
      <c r="N163" s="2">
        <v>38502.300856481481</v>
      </c>
      <c r="O163" s="12"/>
      <c r="AC163" s="11" t="s">
        <v>1684</v>
      </c>
      <c r="AD163" s="11" t="s">
        <v>1472</v>
      </c>
      <c r="AE163" s="11" t="s">
        <v>1491</v>
      </c>
    </row>
    <row r="164" spans="9:31" x14ac:dyDescent="0.25">
      <c r="I164">
        <v>329</v>
      </c>
      <c r="J164" t="s">
        <v>273</v>
      </c>
      <c r="K164" t="s">
        <v>274</v>
      </c>
      <c r="L164">
        <v>32</v>
      </c>
      <c r="M164" s="12">
        <v>127.68</v>
      </c>
      <c r="N164" s="2">
        <v>38518.034247685187</v>
      </c>
      <c r="O164" s="12"/>
      <c r="AC164" s="11" t="s">
        <v>1299</v>
      </c>
      <c r="AD164" s="11" t="s">
        <v>1469</v>
      </c>
      <c r="AE164" s="11" t="s">
        <v>1685</v>
      </c>
    </row>
    <row r="165" spans="9:31" x14ac:dyDescent="0.25">
      <c r="I165">
        <v>38</v>
      </c>
      <c r="J165" t="s">
        <v>157</v>
      </c>
      <c r="K165" t="s">
        <v>158</v>
      </c>
      <c r="L165">
        <v>34</v>
      </c>
      <c r="M165" s="12">
        <v>127.66</v>
      </c>
      <c r="N165" s="2">
        <v>38518.246990740743</v>
      </c>
      <c r="O165" s="12"/>
      <c r="AC165" s="11" t="s">
        <v>1297</v>
      </c>
      <c r="AD165" s="11" t="s">
        <v>1418</v>
      </c>
      <c r="AE165" s="11" t="s">
        <v>1686</v>
      </c>
    </row>
    <row r="166" spans="9:31" x14ac:dyDescent="0.25">
      <c r="I166">
        <v>147</v>
      </c>
      <c r="J166" t="s">
        <v>171</v>
      </c>
      <c r="K166" t="s">
        <v>172</v>
      </c>
      <c r="L166">
        <v>34</v>
      </c>
      <c r="M166" s="12">
        <v>127.66</v>
      </c>
      <c r="N166" s="2">
        <v>38499.298900462964</v>
      </c>
      <c r="O166" s="12"/>
      <c r="AC166" s="11" t="s">
        <v>1687</v>
      </c>
      <c r="AD166" s="11" t="s">
        <v>1470</v>
      </c>
      <c r="AE166" s="11" t="s">
        <v>1688</v>
      </c>
    </row>
    <row r="167" spans="9:31" x14ac:dyDescent="0.25">
      <c r="I167">
        <v>206</v>
      </c>
      <c r="J167" t="s">
        <v>613</v>
      </c>
      <c r="K167" t="s">
        <v>614</v>
      </c>
      <c r="L167">
        <v>27</v>
      </c>
      <c r="M167" s="12">
        <v>126.73</v>
      </c>
      <c r="N167" s="2">
        <v>38520.102118055554</v>
      </c>
      <c r="O167" s="12"/>
      <c r="AC167" s="11" t="s">
        <v>1689</v>
      </c>
      <c r="AD167" s="11" t="s">
        <v>1403</v>
      </c>
      <c r="AE167" s="11" t="s">
        <v>1647</v>
      </c>
    </row>
    <row r="168" spans="9:31" x14ac:dyDescent="0.25">
      <c r="I168">
        <v>426</v>
      </c>
      <c r="J168" t="s">
        <v>176</v>
      </c>
      <c r="K168" t="s">
        <v>637</v>
      </c>
      <c r="L168">
        <v>27</v>
      </c>
      <c r="M168" s="12">
        <v>126.73</v>
      </c>
      <c r="N168" s="2">
        <v>38500.6091087963</v>
      </c>
      <c r="O168" s="12"/>
      <c r="AC168" s="11" t="s">
        <v>1690</v>
      </c>
      <c r="AD168" s="11" t="s">
        <v>1472</v>
      </c>
      <c r="AE168" s="11" t="s">
        <v>1691</v>
      </c>
    </row>
    <row r="169" spans="9:31" x14ac:dyDescent="0.25">
      <c r="I169">
        <v>284</v>
      </c>
      <c r="J169" t="s">
        <v>542</v>
      </c>
      <c r="K169" t="s">
        <v>543</v>
      </c>
      <c r="L169">
        <v>28</v>
      </c>
      <c r="M169" s="12">
        <v>126.72</v>
      </c>
      <c r="N169" s="2">
        <v>38499.647881944446</v>
      </c>
      <c r="O169" s="12"/>
      <c r="AC169" s="11" t="s">
        <v>1692</v>
      </c>
      <c r="AD169" s="11" t="s">
        <v>1429</v>
      </c>
      <c r="AE169" s="11" t="s">
        <v>1693</v>
      </c>
    </row>
    <row r="170" spans="9:31" x14ac:dyDescent="0.25">
      <c r="I170">
        <v>515</v>
      </c>
      <c r="J170" t="s">
        <v>571</v>
      </c>
      <c r="K170" t="s">
        <v>572</v>
      </c>
      <c r="L170">
        <v>28</v>
      </c>
      <c r="M170" s="12">
        <v>126.72</v>
      </c>
      <c r="N170" s="2">
        <v>38498.237928240742</v>
      </c>
      <c r="O170" s="12"/>
      <c r="AC170" s="11" t="s">
        <v>1694</v>
      </c>
      <c r="AD170" s="11" t="s">
        <v>1466</v>
      </c>
      <c r="AE170" s="11" t="s">
        <v>1521</v>
      </c>
    </row>
    <row r="171" spans="9:31" x14ac:dyDescent="0.25">
      <c r="I171">
        <v>565</v>
      </c>
      <c r="J171" t="s">
        <v>493</v>
      </c>
      <c r="K171" t="s">
        <v>494</v>
      </c>
      <c r="L171">
        <v>29</v>
      </c>
      <c r="M171" s="12">
        <v>126.71</v>
      </c>
      <c r="N171" s="2">
        <v>38499.832361111112</v>
      </c>
      <c r="O171" s="12"/>
      <c r="AC171" s="11" t="s">
        <v>1695</v>
      </c>
      <c r="AD171" s="11" t="s">
        <v>1443</v>
      </c>
      <c r="AE171" s="11" t="s">
        <v>1696</v>
      </c>
    </row>
    <row r="172" spans="9:31" x14ac:dyDescent="0.25">
      <c r="I172">
        <v>575</v>
      </c>
      <c r="J172" t="s">
        <v>497</v>
      </c>
      <c r="K172" t="s">
        <v>498</v>
      </c>
      <c r="L172">
        <v>29</v>
      </c>
      <c r="M172" s="12">
        <v>126.71</v>
      </c>
      <c r="N172" s="2">
        <v>38497.046249999999</v>
      </c>
      <c r="O172" s="12"/>
      <c r="AC172" s="11" t="s">
        <v>1697</v>
      </c>
      <c r="AD172" s="11" t="s">
        <v>1469</v>
      </c>
      <c r="AE172" s="11" t="s">
        <v>1571</v>
      </c>
    </row>
    <row r="173" spans="9:31" x14ac:dyDescent="0.25">
      <c r="I173">
        <v>107</v>
      </c>
      <c r="J173" t="s">
        <v>364</v>
      </c>
      <c r="K173" t="s">
        <v>365</v>
      </c>
      <c r="L173">
        <v>30</v>
      </c>
      <c r="M173" s="12">
        <v>126.7</v>
      </c>
      <c r="N173" s="2">
        <v>38498.132777777777</v>
      </c>
      <c r="O173" s="12"/>
      <c r="AC173" s="11" t="s">
        <v>1698</v>
      </c>
      <c r="AD173" s="11" t="s">
        <v>1450</v>
      </c>
      <c r="AE173" s="11" t="s">
        <v>1573</v>
      </c>
    </row>
    <row r="174" spans="9:31" x14ac:dyDescent="0.25">
      <c r="I174">
        <v>27</v>
      </c>
      <c r="J174" t="s">
        <v>303</v>
      </c>
      <c r="K174" t="s">
        <v>304</v>
      </c>
      <c r="L174">
        <v>31</v>
      </c>
      <c r="M174" s="12">
        <v>126.69</v>
      </c>
      <c r="N174" s="2">
        <v>38501.66878472222</v>
      </c>
      <c r="O174" s="12"/>
      <c r="AC174" s="11" t="s">
        <v>1699</v>
      </c>
      <c r="AD174" s="11" t="s">
        <v>1413</v>
      </c>
      <c r="AE174" s="11" t="s">
        <v>1700</v>
      </c>
    </row>
    <row r="175" spans="9:31" x14ac:dyDescent="0.25">
      <c r="I175">
        <v>122</v>
      </c>
      <c r="J175" t="s">
        <v>245</v>
      </c>
      <c r="K175" t="s">
        <v>246</v>
      </c>
      <c r="L175">
        <v>32</v>
      </c>
      <c r="M175" s="12">
        <v>126.68</v>
      </c>
      <c r="N175" s="2">
        <v>38502.071886574071</v>
      </c>
      <c r="O175" s="12"/>
      <c r="AC175" s="11" t="s">
        <v>1701</v>
      </c>
      <c r="AD175" s="11" t="s">
        <v>1443</v>
      </c>
      <c r="AE175" s="11" t="s">
        <v>1702</v>
      </c>
    </row>
    <row r="176" spans="9:31" x14ac:dyDescent="0.25">
      <c r="I176">
        <v>158</v>
      </c>
      <c r="J176" t="s">
        <v>253</v>
      </c>
      <c r="K176" t="s">
        <v>254</v>
      </c>
      <c r="L176">
        <v>32</v>
      </c>
      <c r="M176" s="12">
        <v>126.68</v>
      </c>
      <c r="N176" s="2">
        <v>38498.574293981481</v>
      </c>
      <c r="O176" s="12"/>
      <c r="AC176" s="11" t="s">
        <v>1703</v>
      </c>
      <c r="AD176" s="11" t="s">
        <v>1472</v>
      </c>
      <c r="AE176" s="11" t="s">
        <v>1599</v>
      </c>
    </row>
    <row r="177" spans="9:31" x14ac:dyDescent="0.25">
      <c r="I177">
        <v>19</v>
      </c>
      <c r="J177" t="s">
        <v>856</v>
      </c>
      <c r="K177" t="s">
        <v>857</v>
      </c>
      <c r="L177">
        <v>24</v>
      </c>
      <c r="M177" s="12">
        <v>125.76</v>
      </c>
      <c r="N177" s="2">
        <v>38497.049155092594</v>
      </c>
      <c r="O177" s="12"/>
      <c r="AC177" s="11" t="s">
        <v>1704</v>
      </c>
      <c r="AD177" s="11" t="s">
        <v>1435</v>
      </c>
      <c r="AE177" s="11" t="s">
        <v>1705</v>
      </c>
    </row>
    <row r="178" spans="9:31" x14ac:dyDescent="0.25">
      <c r="I178">
        <v>389</v>
      </c>
      <c r="J178" t="s">
        <v>723</v>
      </c>
      <c r="K178" t="s">
        <v>724</v>
      </c>
      <c r="L178">
        <v>26</v>
      </c>
      <c r="M178" s="12">
        <v>124.74</v>
      </c>
      <c r="N178" s="2">
        <v>38503.011770833335</v>
      </c>
      <c r="O178" s="12"/>
      <c r="AC178" s="11" t="s">
        <v>1706</v>
      </c>
      <c r="AD178" s="11" t="s">
        <v>1443</v>
      </c>
      <c r="AE178" s="11" t="s">
        <v>1468</v>
      </c>
    </row>
    <row r="179" spans="9:31" x14ac:dyDescent="0.25">
      <c r="I179">
        <v>491</v>
      </c>
      <c r="J179" t="s">
        <v>641</v>
      </c>
      <c r="K179" t="s">
        <v>642</v>
      </c>
      <c r="L179">
        <v>27</v>
      </c>
      <c r="M179" s="12">
        <v>124.73</v>
      </c>
      <c r="N179" s="2">
        <v>38499.976909722223</v>
      </c>
      <c r="O179" s="12"/>
      <c r="AC179" s="11" t="s">
        <v>1707</v>
      </c>
      <c r="AD179" s="11" t="s">
        <v>1469</v>
      </c>
      <c r="AE179" s="11" t="s">
        <v>1524</v>
      </c>
    </row>
    <row r="180" spans="9:31" x14ac:dyDescent="0.25">
      <c r="I180">
        <v>400</v>
      </c>
      <c r="J180" t="s">
        <v>558</v>
      </c>
      <c r="K180" t="s">
        <v>559</v>
      </c>
      <c r="L180">
        <v>28</v>
      </c>
      <c r="M180" s="12">
        <v>124.72</v>
      </c>
      <c r="N180" s="2">
        <v>38497.67560185185</v>
      </c>
      <c r="O180" s="12"/>
      <c r="AC180" s="11" t="s">
        <v>1708</v>
      </c>
      <c r="AD180" s="11" t="s">
        <v>1463</v>
      </c>
      <c r="AE180" s="11" t="s">
        <v>1709</v>
      </c>
    </row>
    <row r="181" spans="9:31" x14ac:dyDescent="0.25">
      <c r="I181">
        <v>388</v>
      </c>
      <c r="J181" t="s">
        <v>404</v>
      </c>
      <c r="K181" t="s">
        <v>405</v>
      </c>
      <c r="L181">
        <v>30</v>
      </c>
      <c r="M181" s="12">
        <v>124.7</v>
      </c>
      <c r="N181" s="2">
        <v>38497.083171296297</v>
      </c>
      <c r="O181" s="12"/>
      <c r="AC181" s="11" t="s">
        <v>1710</v>
      </c>
      <c r="AD181" s="11" t="s">
        <v>1459</v>
      </c>
      <c r="AE181" s="11" t="s">
        <v>1634</v>
      </c>
    </row>
    <row r="182" spans="9:31" x14ac:dyDescent="0.25">
      <c r="I182">
        <v>230</v>
      </c>
      <c r="J182" t="s">
        <v>213</v>
      </c>
      <c r="K182" t="s">
        <v>214</v>
      </c>
      <c r="L182">
        <v>33</v>
      </c>
      <c r="M182" s="12">
        <v>124.67</v>
      </c>
      <c r="N182" s="2">
        <v>38497.171076388891</v>
      </c>
      <c r="O182" s="12"/>
      <c r="AC182" s="11" t="s">
        <v>1295</v>
      </c>
      <c r="AD182" s="11" t="s">
        <v>1469</v>
      </c>
      <c r="AE182" s="11" t="s">
        <v>1565</v>
      </c>
    </row>
    <row r="183" spans="9:31" x14ac:dyDescent="0.25">
      <c r="I183">
        <v>129</v>
      </c>
      <c r="J183" t="s">
        <v>167</v>
      </c>
      <c r="K183" t="s">
        <v>168</v>
      </c>
      <c r="L183">
        <v>34</v>
      </c>
      <c r="M183" s="12">
        <v>124.66</v>
      </c>
      <c r="N183" s="2">
        <v>38519.649085648147</v>
      </c>
      <c r="O183" s="12"/>
      <c r="AC183" s="11" t="s">
        <v>1711</v>
      </c>
      <c r="AD183" s="11" t="s">
        <v>1470</v>
      </c>
      <c r="AE183" s="11" t="s">
        <v>1712</v>
      </c>
    </row>
    <row r="184" spans="9:31" x14ac:dyDescent="0.25">
      <c r="I184">
        <v>166</v>
      </c>
      <c r="J184" t="s">
        <v>526</v>
      </c>
      <c r="K184" t="s">
        <v>527</v>
      </c>
      <c r="L184">
        <v>28</v>
      </c>
      <c r="M184" s="12">
        <v>123.72</v>
      </c>
      <c r="N184" s="2">
        <v>38500.881608796299</v>
      </c>
      <c r="O184" s="12"/>
      <c r="AC184" s="11" t="s">
        <v>1713</v>
      </c>
      <c r="AD184" s="11" t="s">
        <v>1426</v>
      </c>
      <c r="AE184" s="11" t="s">
        <v>1714</v>
      </c>
    </row>
    <row r="185" spans="9:31" x14ac:dyDescent="0.25">
      <c r="I185">
        <v>268</v>
      </c>
      <c r="J185" t="s">
        <v>457</v>
      </c>
      <c r="K185" t="s">
        <v>458</v>
      </c>
      <c r="L185">
        <v>29</v>
      </c>
      <c r="M185" s="12">
        <v>123.71</v>
      </c>
      <c r="N185" s="2">
        <v>38518.678715277776</v>
      </c>
      <c r="O185" s="12"/>
      <c r="AC185" s="11" t="s">
        <v>1715</v>
      </c>
      <c r="AD185" s="11" t="s">
        <v>1453</v>
      </c>
      <c r="AE185" s="11" t="s">
        <v>1716</v>
      </c>
    </row>
    <row r="186" spans="9:31" x14ac:dyDescent="0.25">
      <c r="I186">
        <v>499</v>
      </c>
      <c r="J186" t="s">
        <v>424</v>
      </c>
      <c r="K186" t="s">
        <v>425</v>
      </c>
      <c r="L186">
        <v>30</v>
      </c>
      <c r="M186" s="12">
        <v>123.7</v>
      </c>
      <c r="N186" s="2">
        <v>38497.603113425925</v>
      </c>
      <c r="O186" s="12"/>
      <c r="AC186" s="11" t="s">
        <v>1717</v>
      </c>
      <c r="AD186" s="11" t="s">
        <v>1446</v>
      </c>
      <c r="AE186" s="11" t="s">
        <v>1718</v>
      </c>
    </row>
    <row r="187" spans="9:31" x14ac:dyDescent="0.25">
      <c r="I187">
        <v>30</v>
      </c>
      <c r="J187" t="s">
        <v>154</v>
      </c>
      <c r="K187" t="s">
        <v>155</v>
      </c>
      <c r="L187">
        <v>34</v>
      </c>
      <c r="M187" s="12">
        <v>123.66</v>
      </c>
      <c r="N187" s="2">
        <v>38520.110648148147</v>
      </c>
      <c r="O187" s="12"/>
      <c r="AC187" s="11" t="s">
        <v>1293</v>
      </c>
      <c r="AD187" s="11" t="s">
        <v>1443</v>
      </c>
      <c r="AE187" s="11" t="s">
        <v>1719</v>
      </c>
    </row>
    <row r="188" spans="9:31" x14ac:dyDescent="0.25">
      <c r="I188">
        <v>510</v>
      </c>
      <c r="J188" t="s">
        <v>745</v>
      </c>
      <c r="K188" t="s">
        <v>746</v>
      </c>
      <c r="L188">
        <v>26</v>
      </c>
      <c r="M188" s="12">
        <v>122.74</v>
      </c>
      <c r="N188" s="2">
        <v>38497.46775462963</v>
      </c>
      <c r="O188" s="12"/>
      <c r="AC188" s="11" t="s">
        <v>1720</v>
      </c>
      <c r="AD188" s="11" t="s">
        <v>1457</v>
      </c>
      <c r="AE188" s="11" t="s">
        <v>1460</v>
      </c>
    </row>
    <row r="189" spans="9:31" x14ac:dyDescent="0.25">
      <c r="I189">
        <v>331</v>
      </c>
      <c r="J189" t="s">
        <v>626</v>
      </c>
      <c r="K189" t="s">
        <v>627</v>
      </c>
      <c r="L189">
        <v>27</v>
      </c>
      <c r="M189" s="12">
        <v>122.73</v>
      </c>
      <c r="N189" s="2">
        <v>38497.578275462962</v>
      </c>
      <c r="O189" s="12"/>
      <c r="AC189" s="11" t="s">
        <v>1721</v>
      </c>
      <c r="AD189" s="11" t="s">
        <v>1426</v>
      </c>
      <c r="AE189" s="11" t="s">
        <v>1722</v>
      </c>
    </row>
    <row r="190" spans="9:31" x14ac:dyDescent="0.25">
      <c r="I190">
        <v>276</v>
      </c>
      <c r="J190" t="s">
        <v>538</v>
      </c>
      <c r="K190" t="s">
        <v>539</v>
      </c>
      <c r="L190">
        <v>28</v>
      </c>
      <c r="M190" s="12">
        <v>122.72</v>
      </c>
      <c r="N190" s="2">
        <v>38501.340358796297</v>
      </c>
      <c r="O190" s="12"/>
      <c r="AC190" s="11" t="s">
        <v>1723</v>
      </c>
      <c r="AD190" s="11" t="s">
        <v>1410</v>
      </c>
      <c r="AE190" s="11" t="s">
        <v>1724</v>
      </c>
    </row>
    <row r="191" spans="9:31" x14ac:dyDescent="0.25">
      <c r="I191">
        <v>163</v>
      </c>
      <c r="J191" t="s">
        <v>446</v>
      </c>
      <c r="K191" t="s">
        <v>447</v>
      </c>
      <c r="L191">
        <v>29</v>
      </c>
      <c r="M191" s="12">
        <v>122.71</v>
      </c>
      <c r="N191" s="2">
        <v>38518.292245370372</v>
      </c>
      <c r="O191" s="12"/>
      <c r="AC191" s="11" t="s">
        <v>1725</v>
      </c>
      <c r="AD191" s="11" t="s">
        <v>1455</v>
      </c>
      <c r="AE191" s="11" t="s">
        <v>1726</v>
      </c>
    </row>
    <row r="192" spans="9:31" x14ac:dyDescent="0.25">
      <c r="I192">
        <v>263</v>
      </c>
      <c r="J192" t="s">
        <v>454</v>
      </c>
      <c r="K192" t="s">
        <v>455</v>
      </c>
      <c r="L192">
        <v>29</v>
      </c>
      <c r="M192" s="12">
        <v>122.71</v>
      </c>
      <c r="N192" s="2">
        <v>38497.690555555557</v>
      </c>
      <c r="O192" s="12"/>
      <c r="AC192" s="11" t="s">
        <v>1727</v>
      </c>
      <c r="AD192" s="11" t="s">
        <v>1466</v>
      </c>
      <c r="AE192" s="11" t="s">
        <v>1728</v>
      </c>
    </row>
    <row r="193" spans="9:31" x14ac:dyDescent="0.25">
      <c r="I193">
        <v>260</v>
      </c>
      <c r="J193" t="s">
        <v>319</v>
      </c>
      <c r="K193" t="s">
        <v>320</v>
      </c>
      <c r="L193">
        <v>31</v>
      </c>
      <c r="M193" s="12">
        <v>122.69</v>
      </c>
      <c r="N193" s="2">
        <v>38503.593043981484</v>
      </c>
      <c r="O193" s="12"/>
      <c r="AC193" s="11" t="s">
        <v>1291</v>
      </c>
      <c r="AD193" s="11" t="s">
        <v>1469</v>
      </c>
      <c r="AE193" s="11" t="s">
        <v>1460</v>
      </c>
    </row>
    <row r="194" spans="9:31" x14ac:dyDescent="0.25">
      <c r="I194">
        <v>406</v>
      </c>
      <c r="J194" t="s">
        <v>283</v>
      </c>
      <c r="K194" t="s">
        <v>284</v>
      </c>
      <c r="L194">
        <v>32</v>
      </c>
      <c r="M194" s="12">
        <v>122.68</v>
      </c>
      <c r="N194" s="2">
        <v>38502.083657407406</v>
      </c>
      <c r="O194" s="12"/>
      <c r="AC194" s="11" t="s">
        <v>1729</v>
      </c>
      <c r="AD194" s="11" t="s">
        <v>1433</v>
      </c>
      <c r="AE194" s="11" t="s">
        <v>1730</v>
      </c>
    </row>
    <row r="195" spans="9:31" x14ac:dyDescent="0.25">
      <c r="I195">
        <v>241</v>
      </c>
      <c r="J195" t="s">
        <v>183</v>
      </c>
      <c r="K195" t="s">
        <v>184</v>
      </c>
      <c r="L195">
        <v>34</v>
      </c>
      <c r="M195" s="12">
        <v>122.66</v>
      </c>
      <c r="N195" s="2">
        <v>38500.711608796293</v>
      </c>
      <c r="O195" s="12"/>
      <c r="AC195" s="11" t="s">
        <v>1731</v>
      </c>
      <c r="AD195" s="11" t="s">
        <v>1470</v>
      </c>
      <c r="AE195" s="11" t="s">
        <v>1732</v>
      </c>
    </row>
    <row r="196" spans="9:31" x14ac:dyDescent="0.25">
      <c r="I196">
        <v>571</v>
      </c>
      <c r="J196" t="s">
        <v>918</v>
      </c>
      <c r="K196" t="s">
        <v>919</v>
      </c>
      <c r="L196">
        <v>24</v>
      </c>
      <c r="M196" s="12">
        <v>121.76</v>
      </c>
      <c r="N196" s="2">
        <v>38498.45449074074</v>
      </c>
      <c r="O196" s="12"/>
      <c r="AC196" s="11" t="s">
        <v>1733</v>
      </c>
      <c r="AD196" s="11" t="s">
        <v>1410</v>
      </c>
      <c r="AE196" s="11" t="s">
        <v>1734</v>
      </c>
    </row>
    <row r="197" spans="9:31" x14ac:dyDescent="0.25">
      <c r="I197">
        <v>149</v>
      </c>
      <c r="J197" t="s">
        <v>676</v>
      </c>
      <c r="K197" t="s">
        <v>677</v>
      </c>
      <c r="L197">
        <v>26</v>
      </c>
      <c r="M197" s="12">
        <v>121.74</v>
      </c>
      <c r="N197" s="2">
        <v>38501.484432870369</v>
      </c>
      <c r="O197" s="12"/>
      <c r="AC197" s="11" t="s">
        <v>1735</v>
      </c>
      <c r="AD197" s="11" t="s">
        <v>1446</v>
      </c>
      <c r="AE197" s="11" t="s">
        <v>1736</v>
      </c>
    </row>
    <row r="198" spans="9:31" x14ac:dyDescent="0.25">
      <c r="I198">
        <v>356</v>
      </c>
      <c r="J198" t="s">
        <v>402</v>
      </c>
      <c r="K198" t="s">
        <v>403</v>
      </c>
      <c r="L198">
        <v>30</v>
      </c>
      <c r="M198" s="12">
        <v>121.7</v>
      </c>
      <c r="N198" s="2">
        <v>38503.482789351852</v>
      </c>
      <c r="O198" s="12"/>
      <c r="AC198" s="11" t="s">
        <v>1737</v>
      </c>
      <c r="AD198" s="11" t="s">
        <v>1459</v>
      </c>
      <c r="AE198" s="11" t="s">
        <v>1738</v>
      </c>
    </row>
    <row r="199" spans="9:31" x14ac:dyDescent="0.25">
      <c r="I199">
        <v>393</v>
      </c>
      <c r="J199" t="s">
        <v>335</v>
      </c>
      <c r="K199" t="s">
        <v>336</v>
      </c>
      <c r="L199">
        <v>31</v>
      </c>
      <c r="M199" s="12">
        <v>121.69</v>
      </c>
      <c r="N199" s="2">
        <v>38500.587465277778</v>
      </c>
      <c r="O199" s="12"/>
      <c r="AC199" s="11" t="s">
        <v>1739</v>
      </c>
      <c r="AD199" s="11" t="s">
        <v>1466</v>
      </c>
      <c r="AE199" s="11" t="s">
        <v>1740</v>
      </c>
    </row>
    <row r="200" spans="9:31" x14ac:dyDescent="0.25">
      <c r="I200">
        <v>416</v>
      </c>
      <c r="J200" t="s">
        <v>337</v>
      </c>
      <c r="K200" t="s">
        <v>338</v>
      </c>
      <c r="L200">
        <v>31</v>
      </c>
      <c r="M200" s="12">
        <v>121.69</v>
      </c>
      <c r="N200" s="2">
        <v>38498.613356481481</v>
      </c>
      <c r="O200" s="12"/>
      <c r="AC200" s="11" t="s">
        <v>1741</v>
      </c>
      <c r="AD200" s="11" t="s">
        <v>1463</v>
      </c>
      <c r="AE200" s="11" t="s">
        <v>1742</v>
      </c>
    </row>
    <row r="201" spans="9:31" x14ac:dyDescent="0.25">
      <c r="I201">
        <v>311</v>
      </c>
      <c r="J201" t="s">
        <v>959</v>
      </c>
      <c r="K201" t="s">
        <v>960</v>
      </c>
      <c r="L201">
        <v>23</v>
      </c>
      <c r="M201" s="12">
        <v>120.77</v>
      </c>
      <c r="N201" s="2">
        <v>38498.700590277775</v>
      </c>
      <c r="O201" s="12"/>
      <c r="AC201" s="11" t="s">
        <v>1743</v>
      </c>
      <c r="AD201" s="11" t="s">
        <v>1459</v>
      </c>
      <c r="AE201" s="11" t="s">
        <v>1744</v>
      </c>
    </row>
    <row r="202" spans="9:31" x14ac:dyDescent="0.25">
      <c r="I202">
        <v>105</v>
      </c>
      <c r="J202" t="s">
        <v>666</v>
      </c>
      <c r="K202" t="s">
        <v>667</v>
      </c>
      <c r="L202">
        <v>26</v>
      </c>
      <c r="M202" s="12">
        <v>120.74</v>
      </c>
      <c r="N202" s="2">
        <v>38499.054826388892</v>
      </c>
      <c r="O202" s="12"/>
      <c r="AC202" s="11" t="s">
        <v>1745</v>
      </c>
      <c r="AD202" s="11" t="s">
        <v>1435</v>
      </c>
      <c r="AE202" s="11" t="s">
        <v>1485</v>
      </c>
    </row>
    <row r="203" spans="9:31" x14ac:dyDescent="0.25">
      <c r="I203">
        <v>225</v>
      </c>
      <c r="J203" t="s">
        <v>690</v>
      </c>
      <c r="K203" t="s">
        <v>691</v>
      </c>
      <c r="L203">
        <v>26</v>
      </c>
      <c r="M203" s="12">
        <v>120.74</v>
      </c>
      <c r="N203" s="2">
        <v>38501.833680555559</v>
      </c>
      <c r="O203" s="12"/>
      <c r="AC203" s="11" t="s">
        <v>1746</v>
      </c>
      <c r="AD203" s="11" t="s">
        <v>1466</v>
      </c>
      <c r="AE203" s="11" t="s">
        <v>1747</v>
      </c>
    </row>
    <row r="204" spans="9:31" x14ac:dyDescent="0.25">
      <c r="I204">
        <v>423</v>
      </c>
      <c r="J204" t="s">
        <v>729</v>
      </c>
      <c r="K204" t="s">
        <v>730</v>
      </c>
      <c r="L204">
        <v>26</v>
      </c>
      <c r="M204" s="12">
        <v>120.74</v>
      </c>
      <c r="N204" s="2">
        <v>38518.922291666669</v>
      </c>
      <c r="O204" s="12"/>
      <c r="AC204" s="11" t="s">
        <v>1748</v>
      </c>
      <c r="AD204" s="11" t="s">
        <v>1459</v>
      </c>
      <c r="AE204" s="11" t="s">
        <v>1749</v>
      </c>
    </row>
    <row r="205" spans="9:31" x14ac:dyDescent="0.25">
      <c r="I205">
        <v>495</v>
      </c>
      <c r="J205" t="s">
        <v>743</v>
      </c>
      <c r="K205" t="s">
        <v>744</v>
      </c>
      <c r="L205">
        <v>26</v>
      </c>
      <c r="M205" s="12">
        <v>120.74</v>
      </c>
      <c r="N205" s="2">
        <v>38500.667685185188</v>
      </c>
      <c r="O205" s="12"/>
      <c r="AC205" s="11" t="s">
        <v>1750</v>
      </c>
      <c r="AD205" s="11" t="s">
        <v>1435</v>
      </c>
      <c r="AE205" s="11" t="s">
        <v>1751</v>
      </c>
    </row>
    <row r="206" spans="9:31" x14ac:dyDescent="0.25">
      <c r="I206">
        <v>573</v>
      </c>
      <c r="J206" t="s">
        <v>495</v>
      </c>
      <c r="K206" t="s">
        <v>496</v>
      </c>
      <c r="L206">
        <v>29</v>
      </c>
      <c r="M206" s="12">
        <v>120.71</v>
      </c>
      <c r="N206" s="2">
        <v>38501.915775462963</v>
      </c>
      <c r="O206" s="12"/>
      <c r="AC206" s="11" t="s">
        <v>1752</v>
      </c>
      <c r="AD206" s="11" t="s">
        <v>1470</v>
      </c>
      <c r="AE206" s="11" t="s">
        <v>1753</v>
      </c>
    </row>
    <row r="207" spans="9:31" x14ac:dyDescent="0.25">
      <c r="I207">
        <v>251</v>
      </c>
      <c r="J207" t="s">
        <v>317</v>
      </c>
      <c r="K207" t="s">
        <v>318</v>
      </c>
      <c r="L207">
        <v>31</v>
      </c>
      <c r="M207" s="12">
        <v>120.69</v>
      </c>
      <c r="N207" s="2">
        <v>38498.667233796295</v>
      </c>
      <c r="O207" s="12"/>
      <c r="AC207" s="11" t="s">
        <v>1754</v>
      </c>
      <c r="AD207" s="11" t="s">
        <v>1453</v>
      </c>
      <c r="AE207" s="11" t="s">
        <v>1755</v>
      </c>
    </row>
    <row r="208" spans="9:31" x14ac:dyDescent="0.25">
      <c r="I208">
        <v>170</v>
      </c>
      <c r="J208" t="s">
        <v>678</v>
      </c>
      <c r="K208" t="s">
        <v>229</v>
      </c>
      <c r="L208">
        <v>26</v>
      </c>
      <c r="M208" s="12">
        <v>119.74</v>
      </c>
      <c r="N208" s="2">
        <v>38498.356365740743</v>
      </c>
      <c r="O208" s="12"/>
      <c r="AC208" s="11" t="s">
        <v>1289</v>
      </c>
      <c r="AD208" s="11" t="s">
        <v>1470</v>
      </c>
      <c r="AE208" s="11" t="s">
        <v>1756</v>
      </c>
    </row>
    <row r="209" spans="9:31" x14ac:dyDescent="0.25">
      <c r="I209">
        <v>487</v>
      </c>
      <c r="J209" t="s">
        <v>741</v>
      </c>
      <c r="K209" t="s">
        <v>742</v>
      </c>
      <c r="L209">
        <v>26</v>
      </c>
      <c r="M209" s="12">
        <v>119.74</v>
      </c>
      <c r="N209" s="2">
        <v>38523.699965277781</v>
      </c>
      <c r="O209" s="12"/>
      <c r="AC209" s="11" t="s">
        <v>1757</v>
      </c>
      <c r="AD209" s="11" t="s">
        <v>1403</v>
      </c>
      <c r="AE209" s="11" t="s">
        <v>1758</v>
      </c>
    </row>
    <row r="210" spans="9:31" x14ac:dyDescent="0.25">
      <c r="I210">
        <v>421</v>
      </c>
      <c r="J210" t="s">
        <v>635</v>
      </c>
      <c r="K210" t="s">
        <v>636</v>
      </c>
      <c r="L210">
        <v>27</v>
      </c>
      <c r="M210" s="12">
        <v>119.73</v>
      </c>
      <c r="N210" s="2">
        <v>38500.105081018519</v>
      </c>
      <c r="O210" s="12"/>
      <c r="AC210" s="11" t="s">
        <v>1759</v>
      </c>
      <c r="AD210" s="11" t="s">
        <v>1474</v>
      </c>
      <c r="AE210" s="11" t="s">
        <v>1760</v>
      </c>
    </row>
    <row r="211" spans="9:31" x14ac:dyDescent="0.25">
      <c r="I211">
        <v>262</v>
      </c>
      <c r="J211" t="s">
        <v>534</v>
      </c>
      <c r="K211" t="s">
        <v>535</v>
      </c>
      <c r="L211">
        <v>28</v>
      </c>
      <c r="M211" s="12">
        <v>119.72</v>
      </c>
      <c r="N211" s="2">
        <v>38502.928668981483</v>
      </c>
      <c r="O211" s="12"/>
      <c r="AC211" s="11" t="s">
        <v>1761</v>
      </c>
      <c r="AD211" s="11" t="s">
        <v>1457</v>
      </c>
      <c r="AE211" s="11" t="s">
        <v>1598</v>
      </c>
    </row>
    <row r="212" spans="9:31" x14ac:dyDescent="0.25">
      <c r="I212">
        <v>173</v>
      </c>
      <c r="J212" t="s">
        <v>448</v>
      </c>
      <c r="K212" t="s">
        <v>449</v>
      </c>
      <c r="L212">
        <v>29</v>
      </c>
      <c r="M212" s="12">
        <v>119.71</v>
      </c>
      <c r="N212" s="2">
        <v>38500.469305555554</v>
      </c>
      <c r="O212" s="12"/>
      <c r="AC212" s="11" t="s">
        <v>1762</v>
      </c>
      <c r="AD212" s="11" t="s">
        <v>1452</v>
      </c>
      <c r="AE212" s="11" t="s">
        <v>1763</v>
      </c>
    </row>
    <row r="213" spans="9:31" x14ac:dyDescent="0.25">
      <c r="I213">
        <v>23</v>
      </c>
      <c r="J213" t="s">
        <v>349</v>
      </c>
      <c r="K213" t="s">
        <v>350</v>
      </c>
      <c r="L213">
        <v>30</v>
      </c>
      <c r="M213" s="12">
        <v>119.7</v>
      </c>
      <c r="N213" s="2">
        <v>38497.888923611114</v>
      </c>
      <c r="O213" s="12"/>
      <c r="AC213" s="11" t="s">
        <v>1287</v>
      </c>
      <c r="AD213" s="11" t="s">
        <v>1457</v>
      </c>
      <c r="AE213" s="11" t="s">
        <v>1449</v>
      </c>
    </row>
    <row r="214" spans="9:31" x14ac:dyDescent="0.25">
      <c r="I214">
        <v>336</v>
      </c>
      <c r="J214" t="s">
        <v>396</v>
      </c>
      <c r="K214" t="s">
        <v>397</v>
      </c>
      <c r="L214">
        <v>30</v>
      </c>
      <c r="M214" s="12">
        <v>119.7</v>
      </c>
      <c r="N214" s="2">
        <v>38518.883483796293</v>
      </c>
      <c r="O214" s="12"/>
      <c r="AC214" s="11" t="s">
        <v>1764</v>
      </c>
      <c r="AD214" s="11" t="s">
        <v>1469</v>
      </c>
      <c r="AE214" s="11" t="s">
        <v>1691</v>
      </c>
    </row>
    <row r="215" spans="9:31" x14ac:dyDescent="0.25">
      <c r="I215">
        <v>340</v>
      </c>
      <c r="J215" t="s">
        <v>331</v>
      </c>
      <c r="K215" t="s">
        <v>332</v>
      </c>
      <c r="L215">
        <v>31</v>
      </c>
      <c r="M215" s="12">
        <v>119.69</v>
      </c>
      <c r="N215" s="2">
        <v>38518.101342592592</v>
      </c>
      <c r="O215" s="12"/>
      <c r="AC215" s="11" t="s">
        <v>1765</v>
      </c>
      <c r="AD215" s="11" t="s">
        <v>1474</v>
      </c>
      <c r="AE215" s="11" t="s">
        <v>1766</v>
      </c>
    </row>
    <row r="216" spans="9:31" x14ac:dyDescent="0.25">
      <c r="I216">
        <v>167</v>
      </c>
      <c r="J216" t="s">
        <v>255</v>
      </c>
      <c r="K216" t="s">
        <v>256</v>
      </c>
      <c r="L216">
        <v>32</v>
      </c>
      <c r="M216" s="12">
        <v>119.68</v>
      </c>
      <c r="N216" s="2">
        <v>38498.775671296295</v>
      </c>
      <c r="O216" s="12"/>
      <c r="AC216" s="11" t="s">
        <v>1767</v>
      </c>
      <c r="AD216" s="11" t="s">
        <v>1410</v>
      </c>
      <c r="AE216" s="11" t="s">
        <v>1768</v>
      </c>
    </row>
    <row r="217" spans="9:31" x14ac:dyDescent="0.25">
      <c r="I217">
        <v>41</v>
      </c>
      <c r="J217" t="s">
        <v>764</v>
      </c>
      <c r="K217" t="s">
        <v>293</v>
      </c>
      <c r="L217">
        <v>25</v>
      </c>
      <c r="M217" s="12">
        <v>118.75</v>
      </c>
      <c r="N217" s="2">
        <v>38522.141863425924</v>
      </c>
      <c r="O217" s="12"/>
      <c r="AC217" s="11" t="s">
        <v>1769</v>
      </c>
      <c r="AD217" s="11" t="s">
        <v>1455</v>
      </c>
      <c r="AE217" s="11" t="s">
        <v>1770</v>
      </c>
    </row>
    <row r="218" spans="9:31" x14ac:dyDescent="0.25">
      <c r="I218">
        <v>531</v>
      </c>
      <c r="J218" t="s">
        <v>444</v>
      </c>
      <c r="K218" t="s">
        <v>836</v>
      </c>
      <c r="L218">
        <v>25</v>
      </c>
      <c r="M218" s="12">
        <v>118.75</v>
      </c>
      <c r="N218" s="2">
        <v>38498.488703703704</v>
      </c>
      <c r="O218" s="12"/>
      <c r="AC218" s="11" t="s">
        <v>1771</v>
      </c>
      <c r="AD218" s="11" t="s">
        <v>1459</v>
      </c>
      <c r="AE218" s="11" t="s">
        <v>1772</v>
      </c>
    </row>
    <row r="219" spans="9:31" x14ac:dyDescent="0.25">
      <c r="I219">
        <v>280</v>
      </c>
      <c r="J219" t="s">
        <v>618</v>
      </c>
      <c r="K219" t="s">
        <v>619</v>
      </c>
      <c r="L219">
        <v>27</v>
      </c>
      <c r="M219" s="12">
        <v>118.73</v>
      </c>
      <c r="N219" s="2">
        <v>38503.110601851855</v>
      </c>
      <c r="O219" s="12"/>
      <c r="AC219" s="11" t="s">
        <v>1773</v>
      </c>
      <c r="AD219" s="11" t="s">
        <v>1433</v>
      </c>
      <c r="AE219" s="11" t="s">
        <v>1774</v>
      </c>
    </row>
    <row r="220" spans="9:31" x14ac:dyDescent="0.25">
      <c r="I220">
        <v>292</v>
      </c>
      <c r="J220" t="s">
        <v>624</v>
      </c>
      <c r="K220" t="s">
        <v>625</v>
      </c>
      <c r="L220">
        <v>27</v>
      </c>
      <c r="M220" s="12">
        <v>118.73</v>
      </c>
      <c r="N220" s="2">
        <v>38499.041712962964</v>
      </c>
      <c r="O220" s="12"/>
      <c r="AC220" s="11" t="s">
        <v>1775</v>
      </c>
      <c r="AD220" s="11" t="s">
        <v>1455</v>
      </c>
      <c r="AE220" s="11" t="s">
        <v>1776</v>
      </c>
    </row>
    <row r="221" spans="9:31" x14ac:dyDescent="0.25">
      <c r="I221">
        <v>16</v>
      </c>
      <c r="J221" t="s">
        <v>508</v>
      </c>
      <c r="K221" t="s">
        <v>509</v>
      </c>
      <c r="L221">
        <v>28</v>
      </c>
      <c r="M221" s="12">
        <v>118.72</v>
      </c>
      <c r="N221" s="2">
        <v>38499.129976851851</v>
      </c>
      <c r="O221" s="12"/>
      <c r="AC221" s="11" t="s">
        <v>1777</v>
      </c>
      <c r="AD221" s="11" t="s">
        <v>1474</v>
      </c>
      <c r="AE221" s="11" t="s">
        <v>1778</v>
      </c>
    </row>
    <row r="222" spans="9:31" x14ac:dyDescent="0.25">
      <c r="I222">
        <v>266</v>
      </c>
      <c r="J222" t="s">
        <v>536</v>
      </c>
      <c r="K222" t="s">
        <v>537</v>
      </c>
      <c r="L222">
        <v>28</v>
      </c>
      <c r="M222" s="12">
        <v>118.72</v>
      </c>
      <c r="N222" s="2">
        <v>38497.566805555558</v>
      </c>
      <c r="O222" s="12"/>
      <c r="AC222" s="11" t="s">
        <v>1779</v>
      </c>
      <c r="AD222" s="11" t="s">
        <v>1413</v>
      </c>
      <c r="AE222" s="11" t="s">
        <v>1780</v>
      </c>
    </row>
    <row r="223" spans="9:31" x14ac:dyDescent="0.25">
      <c r="I223">
        <v>332</v>
      </c>
      <c r="J223" t="s">
        <v>550</v>
      </c>
      <c r="K223" t="s">
        <v>551</v>
      </c>
      <c r="L223">
        <v>28</v>
      </c>
      <c r="M223" s="12">
        <v>118.72</v>
      </c>
      <c r="N223" s="2">
        <v>38500.589108796295</v>
      </c>
      <c r="O223" s="12"/>
      <c r="AC223" s="11" t="s">
        <v>1781</v>
      </c>
      <c r="AD223" s="11" t="s">
        <v>1453</v>
      </c>
      <c r="AE223" s="11" t="s">
        <v>1782</v>
      </c>
    </row>
    <row r="224" spans="9:31" x14ac:dyDescent="0.25">
      <c r="I224">
        <v>529</v>
      </c>
      <c r="J224" t="s">
        <v>487</v>
      </c>
      <c r="K224" t="s">
        <v>488</v>
      </c>
      <c r="L224">
        <v>29</v>
      </c>
      <c r="M224" s="12">
        <v>118.71</v>
      </c>
      <c r="N224" s="2">
        <v>38499.813379629632</v>
      </c>
      <c r="O224" s="12"/>
      <c r="AC224" s="11" t="s">
        <v>1783</v>
      </c>
      <c r="AD224" s="11" t="s">
        <v>1455</v>
      </c>
      <c r="AE224" s="11" t="s">
        <v>1451</v>
      </c>
    </row>
    <row r="225" spans="9:31" x14ac:dyDescent="0.25">
      <c r="I225">
        <v>1</v>
      </c>
      <c r="J225" t="s">
        <v>233</v>
      </c>
      <c r="K225" t="s">
        <v>234</v>
      </c>
      <c r="L225">
        <v>32</v>
      </c>
      <c r="M225" s="12">
        <v>118.68</v>
      </c>
      <c r="N225" s="2">
        <v>38497.479594907411</v>
      </c>
      <c r="O225" s="12"/>
      <c r="AC225" s="11" t="s">
        <v>1784</v>
      </c>
      <c r="AD225" s="11" t="s">
        <v>1443</v>
      </c>
      <c r="AE225" s="11" t="s">
        <v>1785</v>
      </c>
    </row>
    <row r="226" spans="9:31" x14ac:dyDescent="0.25">
      <c r="I226">
        <v>442</v>
      </c>
      <c r="J226" t="s">
        <v>285</v>
      </c>
      <c r="K226" t="s">
        <v>286</v>
      </c>
      <c r="L226">
        <v>32</v>
      </c>
      <c r="M226" s="12">
        <v>118.68</v>
      </c>
      <c r="N226" s="2">
        <v>38499.872997685183</v>
      </c>
      <c r="O226" s="12"/>
      <c r="AC226" s="11" t="s">
        <v>1786</v>
      </c>
      <c r="AD226" s="11" t="s">
        <v>1443</v>
      </c>
      <c r="AE226" s="11" t="s">
        <v>1491</v>
      </c>
    </row>
    <row r="227" spans="9:31" x14ac:dyDescent="0.25">
      <c r="I227">
        <v>583</v>
      </c>
      <c r="J227" t="s">
        <v>166</v>
      </c>
      <c r="K227" t="s">
        <v>1006</v>
      </c>
      <c r="L227">
        <v>23</v>
      </c>
      <c r="M227" s="12">
        <v>117.77</v>
      </c>
      <c r="N227" s="2">
        <v>38518.763541666667</v>
      </c>
      <c r="O227" s="12"/>
      <c r="AC227" s="11" t="s">
        <v>1787</v>
      </c>
      <c r="AD227" s="11" t="s">
        <v>1398</v>
      </c>
      <c r="AE227" s="11" t="s">
        <v>1788</v>
      </c>
    </row>
    <row r="228" spans="9:31" x14ac:dyDescent="0.25">
      <c r="I228">
        <v>490</v>
      </c>
      <c r="J228" t="s">
        <v>900</v>
      </c>
      <c r="K228" t="s">
        <v>901</v>
      </c>
      <c r="L228">
        <v>24</v>
      </c>
      <c r="M228" s="12">
        <v>117.76</v>
      </c>
      <c r="N228" s="2">
        <v>38500.493576388886</v>
      </c>
      <c r="O228" s="12"/>
      <c r="AC228" s="11" t="s">
        <v>1789</v>
      </c>
      <c r="AD228" s="11" t="s">
        <v>1459</v>
      </c>
      <c r="AE228" s="11" t="s">
        <v>1662</v>
      </c>
    </row>
    <row r="229" spans="9:31" x14ac:dyDescent="0.25">
      <c r="I229">
        <v>585</v>
      </c>
      <c r="J229" t="s">
        <v>204</v>
      </c>
      <c r="K229" t="s">
        <v>920</v>
      </c>
      <c r="L229">
        <v>24</v>
      </c>
      <c r="M229" s="12">
        <v>117.76</v>
      </c>
      <c r="N229" s="2">
        <v>38518.520613425928</v>
      </c>
      <c r="O229" s="12"/>
      <c r="AC229" s="11" t="s">
        <v>1790</v>
      </c>
      <c r="AD229" s="11" t="s">
        <v>1470</v>
      </c>
      <c r="AE229" s="11" t="s">
        <v>1791</v>
      </c>
    </row>
    <row r="230" spans="9:31" x14ac:dyDescent="0.25">
      <c r="I230">
        <v>536</v>
      </c>
      <c r="J230" t="s">
        <v>837</v>
      </c>
      <c r="K230" t="s">
        <v>838</v>
      </c>
      <c r="L230">
        <v>25</v>
      </c>
      <c r="M230" s="12">
        <v>117.75</v>
      </c>
      <c r="N230" s="2">
        <v>38498.510567129626</v>
      </c>
      <c r="O230" s="12"/>
      <c r="AC230" s="11" t="s">
        <v>1792</v>
      </c>
      <c r="AD230" s="11" t="s">
        <v>1453</v>
      </c>
      <c r="AE230" s="11" t="s">
        <v>1793</v>
      </c>
    </row>
    <row r="231" spans="9:31" x14ac:dyDescent="0.25">
      <c r="I231">
        <v>240</v>
      </c>
      <c r="J231" t="s">
        <v>696</v>
      </c>
      <c r="K231" t="s">
        <v>697</v>
      </c>
      <c r="L231">
        <v>26</v>
      </c>
      <c r="M231" s="12">
        <v>117.74</v>
      </c>
      <c r="N231" s="2">
        <v>38498.581331018519</v>
      </c>
      <c r="O231" s="12"/>
      <c r="AC231" s="11" t="s">
        <v>1794</v>
      </c>
      <c r="AD231" s="11" t="s">
        <v>1474</v>
      </c>
      <c r="AE231" s="11" t="s">
        <v>1795</v>
      </c>
    </row>
    <row r="232" spans="9:31" x14ac:dyDescent="0.25">
      <c r="I232">
        <v>286</v>
      </c>
      <c r="J232" t="s">
        <v>622</v>
      </c>
      <c r="K232" t="s">
        <v>623</v>
      </c>
      <c r="L232">
        <v>27</v>
      </c>
      <c r="M232" s="12">
        <v>117.73</v>
      </c>
      <c r="N232" s="2">
        <v>38497.510636574072</v>
      </c>
      <c r="O232" s="12"/>
      <c r="AC232" s="11" t="s">
        <v>1796</v>
      </c>
      <c r="AD232" s="11" t="s">
        <v>1410</v>
      </c>
      <c r="AE232" s="11" t="s">
        <v>1797</v>
      </c>
    </row>
    <row r="233" spans="9:31" x14ac:dyDescent="0.25">
      <c r="I233">
        <v>577</v>
      </c>
      <c r="J233" t="s">
        <v>647</v>
      </c>
      <c r="K233" t="s">
        <v>648</v>
      </c>
      <c r="L233">
        <v>27</v>
      </c>
      <c r="M233" s="12">
        <v>117.73</v>
      </c>
      <c r="N233" s="2">
        <v>38498.847766203704</v>
      </c>
      <c r="O233" s="12"/>
      <c r="AC233" s="11" t="s">
        <v>1798</v>
      </c>
      <c r="AD233" s="11" t="s">
        <v>1418</v>
      </c>
      <c r="AE233" s="11" t="s">
        <v>1634</v>
      </c>
    </row>
    <row r="234" spans="9:31" x14ac:dyDescent="0.25">
      <c r="I234">
        <v>14</v>
      </c>
      <c r="J234" t="s">
        <v>506</v>
      </c>
      <c r="K234" t="s">
        <v>507</v>
      </c>
      <c r="L234">
        <v>28</v>
      </c>
      <c r="M234" s="12">
        <v>117.72</v>
      </c>
      <c r="N234" s="2">
        <v>38498.026018518518</v>
      </c>
      <c r="O234" s="12"/>
      <c r="AC234" s="11" t="s">
        <v>1799</v>
      </c>
      <c r="AD234" s="11" t="s">
        <v>1461</v>
      </c>
      <c r="AE234" s="11" t="s">
        <v>1800</v>
      </c>
    </row>
    <row r="235" spans="9:31" x14ac:dyDescent="0.25">
      <c r="I235">
        <v>126</v>
      </c>
      <c r="J235" t="s">
        <v>520</v>
      </c>
      <c r="K235" t="s">
        <v>521</v>
      </c>
      <c r="L235">
        <v>28</v>
      </c>
      <c r="M235" s="12">
        <v>117.72</v>
      </c>
      <c r="N235" s="2">
        <v>38497.000462962962</v>
      </c>
      <c r="O235" s="12"/>
      <c r="AC235" s="11" t="s">
        <v>1801</v>
      </c>
      <c r="AD235" s="11" t="s">
        <v>1418</v>
      </c>
      <c r="AE235" s="11" t="s">
        <v>1573</v>
      </c>
    </row>
    <row r="236" spans="9:31" x14ac:dyDescent="0.25">
      <c r="I236">
        <v>386</v>
      </c>
      <c r="J236" t="s">
        <v>471</v>
      </c>
      <c r="K236" t="s">
        <v>472</v>
      </c>
      <c r="L236">
        <v>29</v>
      </c>
      <c r="M236" s="12">
        <v>117.71</v>
      </c>
      <c r="N236" s="2">
        <v>38500.492303240739</v>
      </c>
      <c r="O236" s="12"/>
      <c r="AC236" s="11" t="s">
        <v>1802</v>
      </c>
      <c r="AD236" s="11" t="s">
        <v>1443</v>
      </c>
      <c r="AE236" s="11" t="s">
        <v>1702</v>
      </c>
    </row>
    <row r="237" spans="9:31" x14ac:dyDescent="0.25">
      <c r="I237">
        <v>538</v>
      </c>
      <c r="J237" t="s">
        <v>489</v>
      </c>
      <c r="K237" t="s">
        <v>490</v>
      </c>
      <c r="L237">
        <v>29</v>
      </c>
      <c r="M237" s="12">
        <v>117.71</v>
      </c>
      <c r="N237" s="2">
        <v>38500.570787037039</v>
      </c>
      <c r="O237" s="12"/>
      <c r="AC237" s="11" t="s">
        <v>1803</v>
      </c>
      <c r="AD237" s="11" t="s">
        <v>1453</v>
      </c>
      <c r="AE237" s="11" t="s">
        <v>1804</v>
      </c>
    </row>
    <row r="238" spans="9:31" x14ac:dyDescent="0.25">
      <c r="I238">
        <v>42</v>
      </c>
      <c r="J238" t="s">
        <v>351</v>
      </c>
      <c r="K238" t="s">
        <v>352</v>
      </c>
      <c r="L238">
        <v>30</v>
      </c>
      <c r="M238" s="12">
        <v>117.7</v>
      </c>
      <c r="N238" s="2">
        <v>38500.740937499999</v>
      </c>
      <c r="O238" s="12"/>
      <c r="AC238" s="11" t="s">
        <v>1805</v>
      </c>
      <c r="AD238" s="11" t="s">
        <v>1463</v>
      </c>
      <c r="AE238" s="11" t="s">
        <v>1806</v>
      </c>
    </row>
    <row r="239" spans="9:31" x14ac:dyDescent="0.25">
      <c r="I239">
        <v>595</v>
      </c>
      <c r="J239" t="s">
        <v>430</v>
      </c>
      <c r="K239" t="s">
        <v>431</v>
      </c>
      <c r="L239">
        <v>30</v>
      </c>
      <c r="M239" s="12">
        <v>117.7</v>
      </c>
      <c r="N239" s="2">
        <v>38500.644004629627</v>
      </c>
      <c r="O239" s="12"/>
      <c r="AC239" s="11" t="s">
        <v>1807</v>
      </c>
      <c r="AD239" s="11" t="s">
        <v>1435</v>
      </c>
      <c r="AE239" s="11" t="s">
        <v>1705</v>
      </c>
    </row>
    <row r="240" spans="9:31" x14ac:dyDescent="0.25">
      <c r="I240">
        <v>321</v>
      </c>
      <c r="J240" t="s">
        <v>1034</v>
      </c>
      <c r="K240" t="s">
        <v>1035</v>
      </c>
      <c r="L240">
        <v>22</v>
      </c>
      <c r="M240" s="12">
        <v>116.78</v>
      </c>
      <c r="N240" s="2">
        <v>38498.300243055557</v>
      </c>
      <c r="O240" s="12"/>
      <c r="AC240" s="11" t="s">
        <v>1808</v>
      </c>
      <c r="AD240" s="11" t="s">
        <v>1429</v>
      </c>
      <c r="AE240" s="11" t="s">
        <v>1776</v>
      </c>
    </row>
    <row r="241" spans="9:31" x14ac:dyDescent="0.25">
      <c r="I241">
        <v>432</v>
      </c>
      <c r="J241" t="s">
        <v>988</v>
      </c>
      <c r="K241" t="s">
        <v>989</v>
      </c>
      <c r="L241">
        <v>23</v>
      </c>
      <c r="M241" s="12">
        <v>116.77</v>
      </c>
      <c r="N241" s="2">
        <v>38499.048738425925</v>
      </c>
      <c r="O241" s="12"/>
      <c r="AC241" s="11" t="s">
        <v>1809</v>
      </c>
      <c r="AD241" s="11" t="s">
        <v>1423</v>
      </c>
      <c r="AE241" s="11" t="s">
        <v>1810</v>
      </c>
    </row>
    <row r="242" spans="9:31" x14ac:dyDescent="0.25">
      <c r="I242">
        <v>408</v>
      </c>
      <c r="J242" t="s">
        <v>410</v>
      </c>
      <c r="K242" t="s">
        <v>411</v>
      </c>
      <c r="L242">
        <v>30</v>
      </c>
      <c r="M242" s="12">
        <v>116.7</v>
      </c>
      <c r="N242" s="2">
        <v>38496.960868055554</v>
      </c>
      <c r="O242" s="12"/>
      <c r="AC242" s="11" t="s">
        <v>1811</v>
      </c>
      <c r="AD242" s="11" t="s">
        <v>1435</v>
      </c>
      <c r="AE242" s="11" t="s">
        <v>1812</v>
      </c>
    </row>
    <row r="243" spans="9:31" x14ac:dyDescent="0.25">
      <c r="I243">
        <v>214</v>
      </c>
      <c r="J243" t="s">
        <v>315</v>
      </c>
      <c r="K243" t="s">
        <v>316</v>
      </c>
      <c r="L243">
        <v>31</v>
      </c>
      <c r="M243" s="12">
        <v>116.69</v>
      </c>
      <c r="N243" s="2">
        <v>38498.545231481483</v>
      </c>
      <c r="O243" s="12"/>
      <c r="AC243" s="11" t="s">
        <v>1813</v>
      </c>
      <c r="AD243" s="11" t="s">
        <v>1453</v>
      </c>
      <c r="AE243" s="11" t="s">
        <v>1535</v>
      </c>
    </row>
    <row r="244" spans="9:31" x14ac:dyDescent="0.25">
      <c r="I244">
        <v>446</v>
      </c>
      <c r="J244" t="s">
        <v>339</v>
      </c>
      <c r="K244" t="s">
        <v>340</v>
      </c>
      <c r="L244">
        <v>31</v>
      </c>
      <c r="M244" s="12">
        <v>116.69</v>
      </c>
      <c r="N244" s="2">
        <v>38497.021701388891</v>
      </c>
      <c r="O244" s="12"/>
      <c r="AC244" s="11" t="s">
        <v>1814</v>
      </c>
      <c r="AD244" s="11" t="s">
        <v>1459</v>
      </c>
      <c r="AE244" s="11" t="s">
        <v>1815</v>
      </c>
    </row>
    <row r="245" spans="9:31" x14ac:dyDescent="0.25">
      <c r="I245">
        <v>254</v>
      </c>
      <c r="J245" t="s">
        <v>265</v>
      </c>
      <c r="K245" t="s">
        <v>266</v>
      </c>
      <c r="L245">
        <v>32</v>
      </c>
      <c r="M245" s="12">
        <v>116.68</v>
      </c>
      <c r="N245" s="2">
        <v>38498.209236111114</v>
      </c>
      <c r="O245" s="12"/>
      <c r="AC245" s="11" t="s">
        <v>1816</v>
      </c>
      <c r="AD245" s="11" t="s">
        <v>1463</v>
      </c>
      <c r="AE245" s="11" t="s">
        <v>1774</v>
      </c>
    </row>
    <row r="246" spans="9:31" x14ac:dyDescent="0.25">
      <c r="I246">
        <v>304</v>
      </c>
      <c r="J246" t="s">
        <v>710</v>
      </c>
      <c r="K246" t="s">
        <v>711</v>
      </c>
      <c r="L246">
        <v>26</v>
      </c>
      <c r="M246" s="12">
        <v>115.74</v>
      </c>
      <c r="N246" s="2">
        <v>38497.915949074071</v>
      </c>
      <c r="O246" s="12"/>
      <c r="AC246" s="11" t="s">
        <v>1817</v>
      </c>
      <c r="AD246" s="11" t="s">
        <v>1466</v>
      </c>
      <c r="AE246" s="11" t="s">
        <v>1818</v>
      </c>
    </row>
    <row r="247" spans="9:31" x14ac:dyDescent="0.25">
      <c r="I247">
        <v>512</v>
      </c>
      <c r="J247" t="s">
        <v>747</v>
      </c>
      <c r="K247" t="s">
        <v>748</v>
      </c>
      <c r="L247">
        <v>26</v>
      </c>
      <c r="M247" s="12">
        <v>115.74</v>
      </c>
      <c r="N247" s="2">
        <v>38518.019872685189</v>
      </c>
      <c r="O247" s="12"/>
      <c r="AC247" s="11" t="s">
        <v>1819</v>
      </c>
      <c r="AD247" s="11" t="s">
        <v>1452</v>
      </c>
      <c r="AE247" s="11" t="s">
        <v>1449</v>
      </c>
    </row>
    <row r="248" spans="9:31" x14ac:dyDescent="0.25">
      <c r="I248">
        <v>58</v>
      </c>
      <c r="J248" t="s">
        <v>592</v>
      </c>
      <c r="K248" t="s">
        <v>593</v>
      </c>
      <c r="L248">
        <v>27</v>
      </c>
      <c r="M248" s="12">
        <v>115.73</v>
      </c>
      <c r="N248" s="2">
        <v>38498.480439814812</v>
      </c>
      <c r="O248" s="12"/>
      <c r="AC248" s="11" t="s">
        <v>1820</v>
      </c>
      <c r="AD248" s="11" t="s">
        <v>1469</v>
      </c>
      <c r="AE248" s="11" t="s">
        <v>1821</v>
      </c>
    </row>
    <row r="249" spans="9:31" x14ac:dyDescent="0.25">
      <c r="I249">
        <v>500</v>
      </c>
      <c r="J249" t="s">
        <v>567</v>
      </c>
      <c r="K249" t="s">
        <v>568</v>
      </c>
      <c r="L249">
        <v>28</v>
      </c>
      <c r="M249" s="12">
        <v>115.72</v>
      </c>
      <c r="N249" s="2">
        <v>38497.789861111109</v>
      </c>
      <c r="O249" s="12"/>
      <c r="AC249" s="11" t="s">
        <v>1822</v>
      </c>
      <c r="AD249" s="11" t="s">
        <v>1443</v>
      </c>
      <c r="AE249" s="11" t="s">
        <v>1823</v>
      </c>
    </row>
    <row r="250" spans="9:31" x14ac:dyDescent="0.25">
      <c r="I250">
        <v>25</v>
      </c>
      <c r="J250" t="s">
        <v>432</v>
      </c>
      <c r="K250" t="s">
        <v>433</v>
      </c>
      <c r="L250">
        <v>29</v>
      </c>
      <c r="M250" s="12">
        <v>115.71</v>
      </c>
      <c r="N250" s="2">
        <v>38497.605150462965</v>
      </c>
      <c r="O250" s="12"/>
      <c r="AC250" s="11" t="s">
        <v>1824</v>
      </c>
      <c r="AD250" s="11" t="s">
        <v>1452</v>
      </c>
      <c r="AE250" s="11" t="s">
        <v>1825</v>
      </c>
    </row>
    <row r="251" spans="9:31" x14ac:dyDescent="0.25">
      <c r="I251">
        <v>287</v>
      </c>
      <c r="J251" t="s">
        <v>459</v>
      </c>
      <c r="K251" t="s">
        <v>460</v>
      </c>
      <c r="L251">
        <v>29</v>
      </c>
      <c r="M251" s="12">
        <v>115.71</v>
      </c>
      <c r="N251" s="2">
        <v>38500.042604166665</v>
      </c>
      <c r="O251" s="12"/>
      <c r="AC251" s="11" t="s">
        <v>1826</v>
      </c>
      <c r="AD251" s="11" t="s">
        <v>1413</v>
      </c>
      <c r="AE251" s="11" t="s">
        <v>1736</v>
      </c>
    </row>
    <row r="252" spans="9:31" x14ac:dyDescent="0.25">
      <c r="I252">
        <v>481</v>
      </c>
      <c r="J252" t="s">
        <v>481</v>
      </c>
      <c r="K252" t="s">
        <v>482</v>
      </c>
      <c r="L252">
        <v>29</v>
      </c>
      <c r="M252" s="12">
        <v>115.71</v>
      </c>
      <c r="N252" s="2">
        <v>38503.633506944447</v>
      </c>
      <c r="O252" s="12"/>
      <c r="AC252" s="11" t="s">
        <v>1827</v>
      </c>
      <c r="AD252" s="11" t="s">
        <v>1459</v>
      </c>
      <c r="AE252" s="11" t="s">
        <v>1565</v>
      </c>
    </row>
    <row r="253" spans="9:31" x14ac:dyDescent="0.25">
      <c r="I253">
        <v>485</v>
      </c>
      <c r="J253" t="s">
        <v>485</v>
      </c>
      <c r="K253" t="s">
        <v>486</v>
      </c>
      <c r="L253">
        <v>29</v>
      </c>
      <c r="M253" s="12">
        <v>115.71</v>
      </c>
      <c r="N253" s="2">
        <v>38503.07471064815</v>
      </c>
      <c r="O253" s="12"/>
      <c r="AC253" s="11" t="s">
        <v>1828</v>
      </c>
      <c r="AD253" s="11" t="s">
        <v>1472</v>
      </c>
      <c r="AE253" s="11" t="s">
        <v>1456</v>
      </c>
    </row>
    <row r="254" spans="9:31" x14ac:dyDescent="0.25">
      <c r="I254">
        <v>588</v>
      </c>
      <c r="J254" t="s">
        <v>57</v>
      </c>
      <c r="K254" t="s">
        <v>499</v>
      </c>
      <c r="L254">
        <v>29</v>
      </c>
      <c r="M254" s="12">
        <v>115.71</v>
      </c>
      <c r="N254" s="2">
        <v>38500.455671296295</v>
      </c>
      <c r="O254" s="12"/>
      <c r="AC254" s="11" t="s">
        <v>1829</v>
      </c>
      <c r="AD254" s="11" t="s">
        <v>1418</v>
      </c>
      <c r="AE254" s="11" t="s">
        <v>1830</v>
      </c>
    </row>
    <row r="255" spans="9:31" x14ac:dyDescent="0.25">
      <c r="I255">
        <v>20</v>
      </c>
      <c r="J255" t="s">
        <v>347</v>
      </c>
      <c r="K255" t="s">
        <v>348</v>
      </c>
      <c r="L255">
        <v>30</v>
      </c>
      <c r="M255" s="12">
        <v>115.7</v>
      </c>
      <c r="N255" s="2">
        <v>38498.310833333337</v>
      </c>
      <c r="O255" s="12"/>
      <c r="AC255" s="11" t="s">
        <v>1831</v>
      </c>
      <c r="AD255" s="11" t="s">
        <v>1429</v>
      </c>
      <c r="AE255" s="11" t="s">
        <v>1832</v>
      </c>
    </row>
    <row r="256" spans="9:31" x14ac:dyDescent="0.25">
      <c r="I256">
        <v>53</v>
      </c>
      <c r="J256" t="s">
        <v>353</v>
      </c>
      <c r="K256" t="s">
        <v>195</v>
      </c>
      <c r="L256">
        <v>30</v>
      </c>
      <c r="M256" s="12">
        <v>115.7</v>
      </c>
      <c r="N256" s="2">
        <v>38497.592986111114</v>
      </c>
      <c r="O256" s="12"/>
      <c r="AC256" s="11" t="s">
        <v>1833</v>
      </c>
      <c r="AD256" s="11" t="s">
        <v>1443</v>
      </c>
      <c r="AE256" s="11" t="s">
        <v>1460</v>
      </c>
    </row>
    <row r="257" spans="9:31" x14ac:dyDescent="0.25">
      <c r="I257">
        <v>444</v>
      </c>
      <c r="J257" t="s">
        <v>418</v>
      </c>
      <c r="K257" t="s">
        <v>419</v>
      </c>
      <c r="L257">
        <v>30</v>
      </c>
      <c r="M257" s="12">
        <v>115.7</v>
      </c>
      <c r="N257" s="2">
        <v>38498.301215277781</v>
      </c>
      <c r="O257" s="12"/>
      <c r="AC257" s="11" t="s">
        <v>1834</v>
      </c>
      <c r="AD257" s="11" t="s">
        <v>1474</v>
      </c>
      <c r="AE257" s="11" t="s">
        <v>1654</v>
      </c>
    </row>
    <row r="258" spans="9:31" x14ac:dyDescent="0.25">
      <c r="I258">
        <v>503</v>
      </c>
      <c r="J258" t="s">
        <v>291</v>
      </c>
      <c r="K258" t="s">
        <v>292</v>
      </c>
      <c r="L258">
        <v>32</v>
      </c>
      <c r="M258" s="12">
        <v>115.68</v>
      </c>
      <c r="N258" s="2">
        <v>38497.778009259258</v>
      </c>
      <c r="O258" s="12"/>
      <c r="AC258" s="11" t="s">
        <v>1835</v>
      </c>
      <c r="AD258" s="11" t="s">
        <v>1426</v>
      </c>
      <c r="AE258" s="11" t="s">
        <v>1614</v>
      </c>
    </row>
    <row r="259" spans="9:31" x14ac:dyDescent="0.25">
      <c r="I259">
        <v>427</v>
      </c>
      <c r="J259" t="s">
        <v>894</v>
      </c>
      <c r="K259" t="s">
        <v>895</v>
      </c>
      <c r="L259">
        <v>24</v>
      </c>
      <c r="M259" s="12">
        <v>114.76</v>
      </c>
      <c r="N259" s="2">
        <v>38497.512337962966</v>
      </c>
      <c r="O259" s="12"/>
      <c r="AC259" s="11" t="s">
        <v>1836</v>
      </c>
      <c r="AD259" s="11" t="s">
        <v>1426</v>
      </c>
      <c r="AE259" s="11" t="s">
        <v>1837</v>
      </c>
    </row>
    <row r="260" spans="9:31" x14ac:dyDescent="0.25">
      <c r="I260">
        <v>343</v>
      </c>
      <c r="J260" t="s">
        <v>89</v>
      </c>
      <c r="K260" t="s">
        <v>806</v>
      </c>
      <c r="L260">
        <v>25</v>
      </c>
      <c r="M260" s="12">
        <v>114.75</v>
      </c>
      <c r="N260" s="2">
        <v>38497.723726851851</v>
      </c>
      <c r="O260" s="12"/>
      <c r="AC260" s="11" t="s">
        <v>1838</v>
      </c>
      <c r="AD260" s="11" t="s">
        <v>1455</v>
      </c>
      <c r="AE260" s="11" t="s">
        <v>1839</v>
      </c>
    </row>
    <row r="261" spans="9:31" x14ac:dyDescent="0.25">
      <c r="I261">
        <v>44</v>
      </c>
      <c r="J261" t="s">
        <v>662</v>
      </c>
      <c r="K261" t="s">
        <v>663</v>
      </c>
      <c r="L261">
        <v>26</v>
      </c>
      <c r="M261" s="12">
        <v>114.74</v>
      </c>
      <c r="N261" s="2">
        <v>38497.157777777778</v>
      </c>
      <c r="O261" s="12"/>
      <c r="AC261" s="11" t="s">
        <v>1840</v>
      </c>
      <c r="AD261" s="11" t="s">
        <v>1418</v>
      </c>
      <c r="AE261" s="11" t="s">
        <v>1841</v>
      </c>
    </row>
    <row r="262" spans="9:31" x14ac:dyDescent="0.25">
      <c r="I262">
        <v>171</v>
      </c>
      <c r="J262" t="s">
        <v>679</v>
      </c>
      <c r="K262" t="s">
        <v>680</v>
      </c>
      <c r="L262">
        <v>26</v>
      </c>
      <c r="M262" s="12">
        <v>114.74</v>
      </c>
      <c r="N262" s="2">
        <v>38501.757222222222</v>
      </c>
      <c r="O262" s="12"/>
      <c r="AC262" s="11" t="s">
        <v>1842</v>
      </c>
      <c r="AD262" s="11" t="s">
        <v>1453</v>
      </c>
      <c r="AE262" s="11" t="s">
        <v>1843</v>
      </c>
    </row>
    <row r="263" spans="9:31" x14ac:dyDescent="0.25">
      <c r="I263">
        <v>220</v>
      </c>
      <c r="J263" t="s">
        <v>615</v>
      </c>
      <c r="K263" t="s">
        <v>616</v>
      </c>
      <c r="L263">
        <v>27</v>
      </c>
      <c r="M263" s="12">
        <v>114.73</v>
      </c>
      <c r="N263" s="2">
        <v>38499.590949074074</v>
      </c>
      <c r="O263" s="12"/>
      <c r="AC263" s="11" t="s">
        <v>1844</v>
      </c>
      <c r="AD263" s="11" t="s">
        <v>1472</v>
      </c>
      <c r="AE263" s="11" t="s">
        <v>1845</v>
      </c>
    </row>
    <row r="264" spans="9:31" x14ac:dyDescent="0.25">
      <c r="I264">
        <v>57</v>
      </c>
      <c r="J264" t="s">
        <v>512</v>
      </c>
      <c r="K264" t="s">
        <v>513</v>
      </c>
      <c r="L264">
        <v>28</v>
      </c>
      <c r="M264" s="12">
        <v>114.72</v>
      </c>
      <c r="N264" s="2">
        <v>38498.028587962966</v>
      </c>
      <c r="O264" s="12"/>
      <c r="AC264" s="11" t="s">
        <v>1846</v>
      </c>
      <c r="AD264" s="11" t="s">
        <v>1461</v>
      </c>
      <c r="AE264" s="11" t="s">
        <v>1847</v>
      </c>
    </row>
    <row r="265" spans="9:31" x14ac:dyDescent="0.25">
      <c r="I265">
        <v>317</v>
      </c>
      <c r="J265" t="s">
        <v>546</v>
      </c>
      <c r="K265" t="s">
        <v>547</v>
      </c>
      <c r="L265">
        <v>28</v>
      </c>
      <c r="M265" s="12">
        <v>114.72</v>
      </c>
      <c r="N265" s="2">
        <v>38497.769548611112</v>
      </c>
      <c r="O265" s="12"/>
      <c r="AC265" s="11" t="s">
        <v>1848</v>
      </c>
      <c r="AD265" s="11" t="s">
        <v>1470</v>
      </c>
      <c r="AE265" s="11" t="s">
        <v>1849</v>
      </c>
    </row>
    <row r="266" spans="9:31" x14ac:dyDescent="0.25">
      <c r="I266">
        <v>338</v>
      </c>
      <c r="J266" t="s">
        <v>552</v>
      </c>
      <c r="K266" t="s">
        <v>553</v>
      </c>
      <c r="L266">
        <v>28</v>
      </c>
      <c r="M266" s="12">
        <v>114.72</v>
      </c>
      <c r="N266" s="2">
        <v>38500.932453703703</v>
      </c>
      <c r="O266" s="12"/>
      <c r="AC266" s="11" t="s">
        <v>1850</v>
      </c>
      <c r="AD266" s="11" t="s">
        <v>1443</v>
      </c>
      <c r="AE266" s="11" t="s">
        <v>1851</v>
      </c>
    </row>
    <row r="267" spans="9:31" x14ac:dyDescent="0.25">
      <c r="I267">
        <v>457</v>
      </c>
      <c r="J267" t="s">
        <v>562</v>
      </c>
      <c r="K267" t="s">
        <v>563</v>
      </c>
      <c r="L267">
        <v>28</v>
      </c>
      <c r="M267" s="12">
        <v>114.72</v>
      </c>
      <c r="N267" s="2">
        <v>38503.146053240744</v>
      </c>
      <c r="O267" s="12"/>
      <c r="AC267" s="11" t="s">
        <v>1852</v>
      </c>
      <c r="AD267" s="11" t="s">
        <v>1461</v>
      </c>
      <c r="AE267" s="11" t="s">
        <v>1558</v>
      </c>
    </row>
    <row r="268" spans="9:31" x14ac:dyDescent="0.25">
      <c r="I268">
        <v>186</v>
      </c>
      <c r="J268" t="s">
        <v>311</v>
      </c>
      <c r="K268" t="s">
        <v>312</v>
      </c>
      <c r="L268">
        <v>31</v>
      </c>
      <c r="M268" s="12">
        <v>114.69</v>
      </c>
      <c r="N268" s="2">
        <v>38500.472557870373</v>
      </c>
      <c r="O268" s="12"/>
      <c r="AC268" s="11" t="s">
        <v>1853</v>
      </c>
      <c r="AD268" s="11" t="s">
        <v>1453</v>
      </c>
      <c r="AE268" s="11" t="s">
        <v>1854</v>
      </c>
    </row>
    <row r="269" spans="9:31" x14ac:dyDescent="0.25">
      <c r="I269">
        <v>323</v>
      </c>
      <c r="J269" t="s">
        <v>329</v>
      </c>
      <c r="K269" t="s">
        <v>330</v>
      </c>
      <c r="L269">
        <v>31</v>
      </c>
      <c r="M269" s="12">
        <v>114.69</v>
      </c>
      <c r="N269" s="2">
        <v>38497.370300925926</v>
      </c>
      <c r="O269" s="12"/>
      <c r="AC269" s="11" t="s">
        <v>1855</v>
      </c>
      <c r="AD269" s="11" t="s">
        <v>1474</v>
      </c>
      <c r="AE269" s="11" t="s">
        <v>1608</v>
      </c>
    </row>
    <row r="270" spans="9:31" x14ac:dyDescent="0.25">
      <c r="I270">
        <v>22</v>
      </c>
      <c r="J270" t="s">
        <v>1011</v>
      </c>
      <c r="K270" t="s">
        <v>1012</v>
      </c>
      <c r="L270">
        <v>22</v>
      </c>
      <c r="M270" s="12">
        <v>113.78</v>
      </c>
      <c r="N270" s="2">
        <v>38499.326192129629</v>
      </c>
      <c r="O270" s="12"/>
      <c r="AC270" s="11" t="s">
        <v>1856</v>
      </c>
      <c r="AD270" s="11" t="s">
        <v>1474</v>
      </c>
      <c r="AE270" s="11" t="s">
        <v>1857</v>
      </c>
    </row>
    <row r="271" spans="9:31" x14ac:dyDescent="0.25">
      <c r="I271">
        <v>582</v>
      </c>
      <c r="J271" t="s">
        <v>846</v>
      </c>
      <c r="K271" t="s">
        <v>847</v>
      </c>
      <c r="L271">
        <v>25</v>
      </c>
      <c r="M271" s="12">
        <v>113.75</v>
      </c>
      <c r="N271" s="2">
        <v>38498.784432870372</v>
      </c>
      <c r="O271" s="12"/>
      <c r="AC271" s="11" t="s">
        <v>1858</v>
      </c>
      <c r="AD271" s="11" t="s">
        <v>1463</v>
      </c>
      <c r="AE271" s="11" t="s">
        <v>1465</v>
      </c>
    </row>
    <row r="272" spans="9:31" x14ac:dyDescent="0.25">
      <c r="I272">
        <v>294</v>
      </c>
      <c r="J272" t="s">
        <v>704</v>
      </c>
      <c r="K272" t="s">
        <v>705</v>
      </c>
      <c r="L272">
        <v>26</v>
      </c>
      <c r="M272" s="12">
        <v>113.74</v>
      </c>
      <c r="N272" s="2">
        <v>38500.58326388889</v>
      </c>
      <c r="O272" s="12"/>
      <c r="AC272" s="11" t="s">
        <v>1859</v>
      </c>
      <c r="AD272" s="11" t="s">
        <v>1403</v>
      </c>
      <c r="AE272" s="11" t="s">
        <v>1860</v>
      </c>
    </row>
    <row r="273" spans="9:31" x14ac:dyDescent="0.25">
      <c r="I273">
        <v>486</v>
      </c>
      <c r="J273" t="s">
        <v>739</v>
      </c>
      <c r="K273" t="s">
        <v>740</v>
      </c>
      <c r="L273">
        <v>26</v>
      </c>
      <c r="M273" s="12">
        <v>113.74</v>
      </c>
      <c r="N273" s="2">
        <v>38502.446967592594</v>
      </c>
      <c r="O273" s="12"/>
      <c r="AC273" s="11" t="s">
        <v>1285</v>
      </c>
      <c r="AD273" s="11" t="s">
        <v>1398</v>
      </c>
      <c r="AE273" s="11" t="s">
        <v>1669</v>
      </c>
    </row>
    <row r="274" spans="9:31" x14ac:dyDescent="0.25">
      <c r="I274">
        <v>593</v>
      </c>
      <c r="J274" t="s">
        <v>759</v>
      </c>
      <c r="K274" t="s">
        <v>760</v>
      </c>
      <c r="L274">
        <v>26</v>
      </c>
      <c r="M274" s="12">
        <v>113.74</v>
      </c>
      <c r="N274" s="2">
        <v>38501.680196759262</v>
      </c>
      <c r="O274" s="12"/>
      <c r="AC274" s="11" t="s">
        <v>1861</v>
      </c>
      <c r="AD274" s="11" t="s">
        <v>1435</v>
      </c>
      <c r="AE274" s="11" t="s">
        <v>1862</v>
      </c>
    </row>
    <row r="275" spans="9:31" x14ac:dyDescent="0.25">
      <c r="I275">
        <v>139</v>
      </c>
      <c r="J275" t="s">
        <v>603</v>
      </c>
      <c r="K275" t="s">
        <v>604</v>
      </c>
      <c r="L275">
        <v>27</v>
      </c>
      <c r="M275" s="12">
        <v>113.73</v>
      </c>
      <c r="N275" s="2">
        <v>38517.98814814815</v>
      </c>
      <c r="O275" s="12"/>
      <c r="AC275" s="11" t="s">
        <v>1863</v>
      </c>
      <c r="AD275" s="11" t="s">
        <v>1455</v>
      </c>
      <c r="AE275" s="11" t="s">
        <v>1864</v>
      </c>
    </row>
    <row r="276" spans="9:31" x14ac:dyDescent="0.25">
      <c r="I276">
        <v>113</v>
      </c>
      <c r="J276" t="s">
        <v>442</v>
      </c>
      <c r="K276" t="s">
        <v>443</v>
      </c>
      <c r="L276">
        <v>29</v>
      </c>
      <c r="M276" s="12">
        <v>113.71</v>
      </c>
      <c r="N276" s="2">
        <v>38500.119606481479</v>
      </c>
      <c r="O276" s="12"/>
      <c r="AC276" s="11" t="s">
        <v>1865</v>
      </c>
      <c r="AD276" s="11" t="s">
        <v>1418</v>
      </c>
      <c r="AE276" s="11" t="s">
        <v>1782</v>
      </c>
    </row>
    <row r="277" spans="9:31" x14ac:dyDescent="0.25">
      <c r="I277">
        <v>447</v>
      </c>
      <c r="J277" t="s">
        <v>475</v>
      </c>
      <c r="K277" t="s">
        <v>476</v>
      </c>
      <c r="L277">
        <v>29</v>
      </c>
      <c r="M277" s="12">
        <v>113.71</v>
      </c>
      <c r="N277" s="2">
        <v>38499.839525462965</v>
      </c>
      <c r="O277" s="12"/>
      <c r="AC277" s="11" t="s">
        <v>1866</v>
      </c>
      <c r="AD277" s="11" t="s">
        <v>1443</v>
      </c>
      <c r="AE277" s="11" t="s">
        <v>1673</v>
      </c>
    </row>
    <row r="278" spans="9:31" x14ac:dyDescent="0.25">
      <c r="I278">
        <v>157</v>
      </c>
      <c r="J278" t="s">
        <v>309</v>
      </c>
      <c r="K278" t="s">
        <v>310</v>
      </c>
      <c r="L278">
        <v>31</v>
      </c>
      <c r="M278" s="12">
        <v>113.69</v>
      </c>
      <c r="N278" s="2">
        <v>38499.241886574076</v>
      </c>
      <c r="O278" s="12"/>
      <c r="AC278" s="11" t="s">
        <v>1867</v>
      </c>
      <c r="AD278" s="11" t="s">
        <v>1466</v>
      </c>
      <c r="AE278" s="11" t="s">
        <v>1818</v>
      </c>
    </row>
    <row r="279" spans="9:31" x14ac:dyDescent="0.25">
      <c r="I279">
        <v>91</v>
      </c>
      <c r="J279" t="s">
        <v>118</v>
      </c>
      <c r="K279" t="s">
        <v>119</v>
      </c>
      <c r="L279">
        <v>35</v>
      </c>
      <c r="M279" s="12">
        <v>113.65</v>
      </c>
      <c r="N279" s="2">
        <v>38498.387303240743</v>
      </c>
      <c r="O279" s="12"/>
      <c r="AC279" s="11" t="s">
        <v>1868</v>
      </c>
      <c r="AD279" s="11" t="s">
        <v>1446</v>
      </c>
      <c r="AE279" s="11" t="s">
        <v>1869</v>
      </c>
    </row>
    <row r="280" spans="9:31" x14ac:dyDescent="0.25">
      <c r="I280">
        <v>493</v>
      </c>
      <c r="J280" t="s">
        <v>996</v>
      </c>
      <c r="K280" t="s">
        <v>997</v>
      </c>
      <c r="L280">
        <v>23</v>
      </c>
      <c r="M280" s="12">
        <v>112.77</v>
      </c>
      <c r="N280" s="2">
        <v>38500.28025462963</v>
      </c>
      <c r="O280" s="12"/>
      <c r="AC280" s="11" t="s">
        <v>1870</v>
      </c>
      <c r="AD280" s="11" t="s">
        <v>1453</v>
      </c>
      <c r="AE280" s="11" t="s">
        <v>1782</v>
      </c>
    </row>
    <row r="281" spans="9:31" x14ac:dyDescent="0.25">
      <c r="I281">
        <v>540</v>
      </c>
      <c r="J281" t="s">
        <v>908</v>
      </c>
      <c r="K281" t="s">
        <v>909</v>
      </c>
      <c r="L281">
        <v>24</v>
      </c>
      <c r="M281" s="12">
        <v>112.76</v>
      </c>
      <c r="N281" s="2">
        <v>38518.289340277777</v>
      </c>
      <c r="O281" s="12"/>
      <c r="AC281" s="11" t="s">
        <v>1871</v>
      </c>
      <c r="AD281" s="11" t="s">
        <v>1466</v>
      </c>
      <c r="AE281" s="11" t="s">
        <v>1872</v>
      </c>
    </row>
    <row r="282" spans="9:31" x14ac:dyDescent="0.25">
      <c r="I282">
        <v>63</v>
      </c>
      <c r="J282" t="s">
        <v>767</v>
      </c>
      <c r="K282" t="s">
        <v>768</v>
      </c>
      <c r="L282">
        <v>25</v>
      </c>
      <c r="M282" s="12">
        <v>112.75</v>
      </c>
      <c r="N282" s="2">
        <v>38519.896226851852</v>
      </c>
      <c r="O282" s="12"/>
      <c r="AC282" s="11" t="s">
        <v>1873</v>
      </c>
      <c r="AD282" s="11" t="s">
        <v>1435</v>
      </c>
      <c r="AE282" s="11" t="s">
        <v>1874</v>
      </c>
    </row>
    <row r="283" spans="9:31" x14ac:dyDescent="0.25">
      <c r="I283">
        <v>590</v>
      </c>
      <c r="J283" t="s">
        <v>848</v>
      </c>
      <c r="K283" t="s">
        <v>849</v>
      </c>
      <c r="L283">
        <v>25</v>
      </c>
      <c r="M283" s="12">
        <v>112.75</v>
      </c>
      <c r="N283" s="2">
        <v>38500.594375000001</v>
      </c>
      <c r="O283" s="12"/>
      <c r="AC283" s="11" t="s">
        <v>1875</v>
      </c>
      <c r="AD283" s="11" t="s">
        <v>1406</v>
      </c>
      <c r="AE283" s="11" t="s">
        <v>1473</v>
      </c>
    </row>
    <row r="284" spans="9:31" x14ac:dyDescent="0.25">
      <c r="I284">
        <v>327</v>
      </c>
      <c r="J284" t="s">
        <v>713</v>
      </c>
      <c r="K284" t="s">
        <v>714</v>
      </c>
      <c r="L284">
        <v>26</v>
      </c>
      <c r="M284" s="12">
        <v>112.74</v>
      </c>
      <c r="N284" s="2">
        <v>38500.841898148145</v>
      </c>
      <c r="O284" s="12"/>
      <c r="AC284" s="11" t="s">
        <v>1876</v>
      </c>
      <c r="AD284" s="11" t="s">
        <v>1466</v>
      </c>
      <c r="AE284" s="11" t="s">
        <v>1877</v>
      </c>
    </row>
    <row r="285" spans="9:31" x14ac:dyDescent="0.25">
      <c r="I285">
        <v>407</v>
      </c>
      <c r="J285" t="s">
        <v>633</v>
      </c>
      <c r="K285" t="s">
        <v>634</v>
      </c>
      <c r="L285">
        <v>27</v>
      </c>
      <c r="M285" s="12">
        <v>112.73</v>
      </c>
      <c r="N285" s="2">
        <v>38500.661412037036</v>
      </c>
      <c r="O285" s="12"/>
      <c r="AC285" s="11" t="s">
        <v>1878</v>
      </c>
      <c r="AD285" s="11" t="s">
        <v>1452</v>
      </c>
      <c r="AE285" s="11" t="s">
        <v>1879</v>
      </c>
    </row>
    <row r="286" spans="9:31" x14ac:dyDescent="0.25">
      <c r="I286">
        <v>441</v>
      </c>
      <c r="J286" t="s">
        <v>560</v>
      </c>
      <c r="K286" t="s">
        <v>561</v>
      </c>
      <c r="L286">
        <v>28</v>
      </c>
      <c r="M286" s="12">
        <v>112.72</v>
      </c>
      <c r="N286" s="2">
        <v>38501.902511574073</v>
      </c>
      <c r="O286" s="12"/>
      <c r="AC286" s="11" t="s">
        <v>1880</v>
      </c>
      <c r="AD286" s="11" t="s">
        <v>1474</v>
      </c>
      <c r="AE286" s="11" t="s">
        <v>1881</v>
      </c>
    </row>
    <row r="287" spans="9:31" x14ac:dyDescent="0.25">
      <c r="I287">
        <v>161</v>
      </c>
      <c r="J287" t="s">
        <v>378</v>
      </c>
      <c r="K287" t="s">
        <v>379</v>
      </c>
      <c r="L287">
        <v>30</v>
      </c>
      <c r="M287" s="12">
        <v>112.7</v>
      </c>
      <c r="N287" s="2">
        <v>38499.67428240741</v>
      </c>
      <c r="O287" s="12"/>
      <c r="AC287" s="11" t="s">
        <v>1882</v>
      </c>
      <c r="AD287" s="11" t="s">
        <v>1472</v>
      </c>
      <c r="AE287" s="11" t="s">
        <v>1883</v>
      </c>
    </row>
    <row r="288" spans="9:31" x14ac:dyDescent="0.25">
      <c r="I288">
        <v>256</v>
      </c>
      <c r="J288" t="s">
        <v>380</v>
      </c>
      <c r="K288" t="s">
        <v>381</v>
      </c>
      <c r="L288">
        <v>30</v>
      </c>
      <c r="M288" s="12">
        <v>112.7</v>
      </c>
      <c r="N288" s="2">
        <v>38497.284143518518</v>
      </c>
      <c r="O288" s="12"/>
      <c r="AC288" s="11" t="s">
        <v>1884</v>
      </c>
      <c r="AD288" s="11" t="s">
        <v>1429</v>
      </c>
      <c r="AE288" s="11" t="s">
        <v>1537</v>
      </c>
    </row>
    <row r="289" spans="9:31" x14ac:dyDescent="0.25">
      <c r="I289">
        <v>453</v>
      </c>
      <c r="J289" t="s">
        <v>992</v>
      </c>
      <c r="K289" t="s">
        <v>993</v>
      </c>
      <c r="L289">
        <v>23</v>
      </c>
      <c r="M289" s="12">
        <v>111.77</v>
      </c>
      <c r="N289" s="2">
        <v>38522.964467592596</v>
      </c>
      <c r="O289" s="12"/>
      <c r="AC289" s="11" t="s">
        <v>1885</v>
      </c>
      <c r="AD289" s="11" t="s">
        <v>1403</v>
      </c>
      <c r="AE289" s="11" t="s">
        <v>1886</v>
      </c>
    </row>
    <row r="290" spans="9:31" x14ac:dyDescent="0.25">
      <c r="I290">
        <v>528</v>
      </c>
      <c r="J290" t="s">
        <v>834</v>
      </c>
      <c r="K290" t="s">
        <v>835</v>
      </c>
      <c r="L290">
        <v>25</v>
      </c>
      <c r="M290" s="12">
        <v>111.75</v>
      </c>
      <c r="N290" s="2">
        <v>38498.312928240739</v>
      </c>
      <c r="O290" s="12"/>
      <c r="AC290" s="11" t="s">
        <v>1887</v>
      </c>
      <c r="AD290" s="11" t="s">
        <v>1474</v>
      </c>
      <c r="AE290" s="11" t="s">
        <v>1812</v>
      </c>
    </row>
    <row r="291" spans="9:31" x14ac:dyDescent="0.25">
      <c r="I291">
        <v>234</v>
      </c>
      <c r="J291" t="s">
        <v>694</v>
      </c>
      <c r="K291" t="s">
        <v>695</v>
      </c>
      <c r="L291">
        <v>26</v>
      </c>
      <c r="M291" s="12">
        <v>111.74</v>
      </c>
      <c r="N291" s="2">
        <v>38503.724814814814</v>
      </c>
      <c r="O291" s="12"/>
      <c r="AC291" s="11" t="s">
        <v>1888</v>
      </c>
      <c r="AD291" s="11" t="s">
        <v>1413</v>
      </c>
      <c r="AE291" s="11" t="s">
        <v>1488</v>
      </c>
    </row>
    <row r="292" spans="9:31" x14ac:dyDescent="0.25">
      <c r="I292">
        <v>518</v>
      </c>
      <c r="J292" t="s">
        <v>751</v>
      </c>
      <c r="K292" t="s">
        <v>752</v>
      </c>
      <c r="L292">
        <v>26</v>
      </c>
      <c r="M292" s="12">
        <v>111.74</v>
      </c>
      <c r="N292" s="2">
        <v>38501.158750000002</v>
      </c>
      <c r="O292" s="12"/>
      <c r="AC292" s="11" t="s">
        <v>1889</v>
      </c>
      <c r="AD292" s="11" t="s">
        <v>1423</v>
      </c>
      <c r="AE292" s="11" t="s">
        <v>1612</v>
      </c>
    </row>
    <row r="293" spans="9:31" x14ac:dyDescent="0.25">
      <c r="I293">
        <v>116</v>
      </c>
      <c r="J293" t="s">
        <v>599</v>
      </c>
      <c r="K293" t="s">
        <v>600</v>
      </c>
      <c r="L293">
        <v>27</v>
      </c>
      <c r="M293" s="12">
        <v>111.73</v>
      </c>
      <c r="N293" s="2">
        <v>38503.33630787037</v>
      </c>
      <c r="O293" s="12"/>
      <c r="AC293" s="11" t="s">
        <v>1283</v>
      </c>
      <c r="AD293" s="11" t="s">
        <v>1406</v>
      </c>
      <c r="AE293" s="11" t="s">
        <v>1890</v>
      </c>
    </row>
    <row r="294" spans="9:31" x14ac:dyDescent="0.25">
      <c r="I294">
        <v>396</v>
      </c>
      <c r="J294" t="s">
        <v>631</v>
      </c>
      <c r="K294" t="s">
        <v>632</v>
      </c>
      <c r="L294">
        <v>27</v>
      </c>
      <c r="M294" s="12">
        <v>111.73</v>
      </c>
      <c r="N294" s="2">
        <v>38500.781793981485</v>
      </c>
      <c r="O294" s="12"/>
      <c r="AC294" s="11" t="s">
        <v>1891</v>
      </c>
      <c r="AD294" s="11" t="s">
        <v>1463</v>
      </c>
      <c r="AE294" s="11" t="s">
        <v>1518</v>
      </c>
    </row>
    <row r="295" spans="9:31" x14ac:dyDescent="0.25">
      <c r="I295">
        <v>579</v>
      </c>
      <c r="J295" t="s">
        <v>649</v>
      </c>
      <c r="K295" t="s">
        <v>650</v>
      </c>
      <c r="L295">
        <v>27</v>
      </c>
      <c r="M295" s="12">
        <v>111.73</v>
      </c>
      <c r="N295" s="2">
        <v>38521.734548611108</v>
      </c>
      <c r="O295" s="12"/>
      <c r="AC295" s="11" t="s">
        <v>1892</v>
      </c>
      <c r="AD295" s="11" t="s">
        <v>1413</v>
      </c>
      <c r="AE295" s="11" t="s">
        <v>1486</v>
      </c>
    </row>
    <row r="296" spans="9:31" x14ac:dyDescent="0.25">
      <c r="I296">
        <v>213</v>
      </c>
      <c r="J296" t="s">
        <v>530</v>
      </c>
      <c r="K296" t="s">
        <v>531</v>
      </c>
      <c r="L296">
        <v>28</v>
      </c>
      <c r="M296" s="12">
        <v>111.72</v>
      </c>
      <c r="N296" s="2">
        <v>38499.432928240742</v>
      </c>
      <c r="O296" s="12"/>
      <c r="AC296" s="11" t="s">
        <v>1893</v>
      </c>
      <c r="AD296" s="11" t="s">
        <v>1472</v>
      </c>
      <c r="AE296" s="11" t="s">
        <v>1592</v>
      </c>
    </row>
    <row r="297" spans="9:31" x14ac:dyDescent="0.25">
      <c r="I297">
        <v>592</v>
      </c>
      <c r="J297" t="s">
        <v>500</v>
      </c>
      <c r="K297" t="s">
        <v>501</v>
      </c>
      <c r="L297">
        <v>29</v>
      </c>
      <c r="M297" s="12">
        <v>111.71</v>
      </c>
      <c r="N297" s="2">
        <v>38517.967199074075</v>
      </c>
      <c r="O297" s="12"/>
      <c r="AC297" s="11" t="s">
        <v>1894</v>
      </c>
      <c r="AD297" s="11" t="s">
        <v>1418</v>
      </c>
      <c r="AE297" s="11" t="s">
        <v>1895</v>
      </c>
    </row>
    <row r="298" spans="9:31" x14ac:dyDescent="0.25">
      <c r="I298">
        <v>28</v>
      </c>
      <c r="J298" t="s">
        <v>237</v>
      </c>
      <c r="K298" t="s">
        <v>238</v>
      </c>
      <c r="L298">
        <v>32</v>
      </c>
      <c r="M298" s="12">
        <v>111.68</v>
      </c>
      <c r="N298" s="2">
        <v>38499.442673611113</v>
      </c>
      <c r="O298" s="12"/>
      <c r="AC298" s="11" t="s">
        <v>1896</v>
      </c>
      <c r="AD298" s="11" t="s">
        <v>1450</v>
      </c>
      <c r="AE298" s="11" t="s">
        <v>1476</v>
      </c>
    </row>
    <row r="299" spans="9:31" x14ac:dyDescent="0.25">
      <c r="I299">
        <v>258</v>
      </c>
      <c r="J299" t="s">
        <v>885</v>
      </c>
      <c r="K299" t="s">
        <v>886</v>
      </c>
      <c r="L299">
        <v>24</v>
      </c>
      <c r="M299" s="12">
        <v>110.76</v>
      </c>
      <c r="N299" s="2">
        <v>38519.693171296298</v>
      </c>
      <c r="O299" s="12"/>
      <c r="AC299" s="11" t="s">
        <v>1897</v>
      </c>
      <c r="AD299" s="11" t="s">
        <v>1474</v>
      </c>
      <c r="AE299" s="11" t="s">
        <v>1772</v>
      </c>
    </row>
    <row r="300" spans="9:31" x14ac:dyDescent="0.25">
      <c r="I300">
        <v>375</v>
      </c>
      <c r="J300" t="s">
        <v>890</v>
      </c>
      <c r="K300" t="s">
        <v>891</v>
      </c>
      <c r="L300">
        <v>24</v>
      </c>
      <c r="M300" s="12">
        <v>110.76</v>
      </c>
      <c r="N300" s="2">
        <v>38498.908483796295</v>
      </c>
      <c r="O300" s="12"/>
      <c r="AC300" s="11" t="s">
        <v>1898</v>
      </c>
      <c r="AD300" s="11" t="s">
        <v>1461</v>
      </c>
      <c r="AE300" s="11" t="s">
        <v>1899</v>
      </c>
    </row>
    <row r="301" spans="9:31" x14ac:dyDescent="0.25">
      <c r="I301">
        <v>417</v>
      </c>
      <c r="J301" t="s">
        <v>814</v>
      </c>
      <c r="K301" t="s">
        <v>815</v>
      </c>
      <c r="L301">
        <v>25</v>
      </c>
      <c r="M301" s="12">
        <v>110.75</v>
      </c>
      <c r="N301" s="2">
        <v>38498.678020833337</v>
      </c>
      <c r="O301" s="12"/>
      <c r="AC301" s="11" t="s">
        <v>1900</v>
      </c>
      <c r="AD301" s="11" t="s">
        <v>1453</v>
      </c>
      <c r="AE301" s="11" t="s">
        <v>1631</v>
      </c>
    </row>
    <row r="302" spans="9:31" x14ac:dyDescent="0.25">
      <c r="I302">
        <v>231</v>
      </c>
      <c r="J302" t="s">
        <v>692</v>
      </c>
      <c r="K302" t="s">
        <v>693</v>
      </c>
      <c r="L302">
        <v>26</v>
      </c>
      <c r="M302" s="12">
        <v>110.74</v>
      </c>
      <c r="N302" s="2">
        <v>38499.081412037034</v>
      </c>
      <c r="O302" s="12"/>
      <c r="AC302" s="11" t="s">
        <v>1901</v>
      </c>
      <c r="AD302" s="11" t="s">
        <v>1429</v>
      </c>
      <c r="AE302" s="11" t="s">
        <v>1481</v>
      </c>
    </row>
    <row r="303" spans="9:31" x14ac:dyDescent="0.25">
      <c r="I303">
        <v>40</v>
      </c>
      <c r="J303" t="s">
        <v>588</v>
      </c>
      <c r="K303" t="s">
        <v>589</v>
      </c>
      <c r="L303">
        <v>27</v>
      </c>
      <c r="M303" s="12">
        <v>110.73</v>
      </c>
      <c r="N303" s="2">
        <v>38497.888807870368</v>
      </c>
      <c r="O303" s="12"/>
      <c r="AC303" s="11" t="s">
        <v>1902</v>
      </c>
      <c r="AD303" s="11" t="s">
        <v>1446</v>
      </c>
      <c r="AE303" s="11" t="s">
        <v>1903</v>
      </c>
    </row>
    <row r="304" spans="9:31" x14ac:dyDescent="0.25">
      <c r="I304">
        <v>190</v>
      </c>
      <c r="J304" t="s">
        <v>609</v>
      </c>
      <c r="K304" t="s">
        <v>610</v>
      </c>
      <c r="L304">
        <v>27</v>
      </c>
      <c r="M304" s="12">
        <v>110.73</v>
      </c>
      <c r="N304" s="2">
        <v>38499.682060185187</v>
      </c>
      <c r="O304" s="12"/>
      <c r="AC304" s="11" t="s">
        <v>1904</v>
      </c>
      <c r="AD304" s="11" t="s">
        <v>1443</v>
      </c>
      <c r="AE304" s="11" t="s">
        <v>1851</v>
      </c>
    </row>
    <row r="305" spans="9:31" x14ac:dyDescent="0.25">
      <c r="I305">
        <v>90</v>
      </c>
      <c r="J305" t="s">
        <v>516</v>
      </c>
      <c r="K305" t="s">
        <v>517</v>
      </c>
      <c r="L305">
        <v>28</v>
      </c>
      <c r="M305" s="12">
        <v>110.72</v>
      </c>
      <c r="N305" s="2">
        <v>38520.558831018519</v>
      </c>
      <c r="O305" s="12"/>
      <c r="AC305" s="11" t="s">
        <v>1905</v>
      </c>
      <c r="AD305" s="11" t="s">
        <v>1453</v>
      </c>
      <c r="AE305" s="11" t="s">
        <v>1479</v>
      </c>
    </row>
    <row r="306" spans="9:31" x14ac:dyDescent="0.25">
      <c r="I306">
        <v>376</v>
      </c>
      <c r="J306" t="s">
        <v>556</v>
      </c>
      <c r="K306" t="s">
        <v>557</v>
      </c>
      <c r="L306">
        <v>28</v>
      </c>
      <c r="M306" s="12">
        <v>110.72</v>
      </c>
      <c r="N306" s="2">
        <v>38500.349490740744</v>
      </c>
      <c r="O306" s="12"/>
      <c r="AC306" s="11" t="s">
        <v>1906</v>
      </c>
      <c r="AD306" s="11" t="s">
        <v>1418</v>
      </c>
      <c r="AE306" s="11" t="s">
        <v>1907</v>
      </c>
    </row>
    <row r="307" spans="9:31" x14ac:dyDescent="0.25">
      <c r="I307">
        <v>559</v>
      </c>
      <c r="J307" t="s">
        <v>575</v>
      </c>
      <c r="K307" t="s">
        <v>576</v>
      </c>
      <c r="L307">
        <v>28</v>
      </c>
      <c r="M307" s="12">
        <v>110.72</v>
      </c>
      <c r="N307" s="2">
        <v>38522.190451388888</v>
      </c>
      <c r="O307" s="12"/>
      <c r="AC307" s="11" t="s">
        <v>1908</v>
      </c>
      <c r="AD307" s="11" t="s">
        <v>1426</v>
      </c>
      <c r="AE307" s="11" t="s">
        <v>1909</v>
      </c>
    </row>
    <row r="308" spans="9:31" x14ac:dyDescent="0.25">
      <c r="I308">
        <v>563</v>
      </c>
      <c r="J308" t="s">
        <v>491</v>
      </c>
      <c r="K308" t="s">
        <v>492</v>
      </c>
      <c r="L308">
        <v>29</v>
      </c>
      <c r="M308" s="12">
        <v>110.71</v>
      </c>
      <c r="N308" s="2">
        <v>38501.438842592594</v>
      </c>
      <c r="O308" s="12"/>
      <c r="AC308" s="11" t="s">
        <v>1910</v>
      </c>
      <c r="AD308" s="11" t="s">
        <v>1466</v>
      </c>
      <c r="AE308" s="11" t="s">
        <v>1578</v>
      </c>
    </row>
    <row r="309" spans="9:31" x14ac:dyDescent="0.25">
      <c r="I309">
        <v>135</v>
      </c>
      <c r="J309" t="s">
        <v>374</v>
      </c>
      <c r="K309" t="s">
        <v>375</v>
      </c>
      <c r="L309">
        <v>30</v>
      </c>
      <c r="M309" s="12">
        <v>110.7</v>
      </c>
      <c r="N309" s="2">
        <v>38497.482847222222</v>
      </c>
      <c r="O309" s="12"/>
      <c r="AC309" s="11" t="s">
        <v>1911</v>
      </c>
      <c r="AD309" s="11" t="s">
        <v>1429</v>
      </c>
      <c r="AE309" s="11" t="s">
        <v>1468</v>
      </c>
    </row>
    <row r="310" spans="9:31" x14ac:dyDescent="0.25">
      <c r="I310">
        <v>424</v>
      </c>
      <c r="J310" t="s">
        <v>414</v>
      </c>
      <c r="K310" t="s">
        <v>415</v>
      </c>
      <c r="L310">
        <v>30</v>
      </c>
      <c r="M310" s="12">
        <v>110.7</v>
      </c>
      <c r="N310" s="2">
        <v>38499.561712962961</v>
      </c>
      <c r="O310" s="12"/>
      <c r="AC310" s="11" t="s">
        <v>1912</v>
      </c>
      <c r="AD310" s="11" t="s">
        <v>1446</v>
      </c>
      <c r="AE310" s="11" t="s">
        <v>1505</v>
      </c>
    </row>
    <row r="311" spans="9:31" x14ac:dyDescent="0.25">
      <c r="I311">
        <v>138</v>
      </c>
      <c r="J311" t="s">
        <v>169</v>
      </c>
      <c r="K311" t="s">
        <v>170</v>
      </c>
      <c r="L311">
        <v>34</v>
      </c>
      <c r="M311" s="12">
        <v>110.66</v>
      </c>
      <c r="N311" s="2">
        <v>38500.162106481483</v>
      </c>
      <c r="O311" s="12"/>
      <c r="AC311" s="11" t="s">
        <v>1913</v>
      </c>
      <c r="AD311" s="11" t="s">
        <v>1472</v>
      </c>
      <c r="AE311" s="11" t="s">
        <v>1914</v>
      </c>
    </row>
    <row r="312" spans="9:31" x14ac:dyDescent="0.25">
      <c r="I312">
        <v>477</v>
      </c>
      <c r="J312" t="s">
        <v>1047</v>
      </c>
      <c r="K312" t="s">
        <v>1048</v>
      </c>
      <c r="L312">
        <v>22</v>
      </c>
      <c r="M312" s="12">
        <v>109.78</v>
      </c>
      <c r="N312" s="2">
        <v>38502.261180555557</v>
      </c>
      <c r="O312" s="12"/>
      <c r="AC312" s="11" t="s">
        <v>1915</v>
      </c>
      <c r="AD312" s="11" t="s">
        <v>1433</v>
      </c>
      <c r="AE312" s="11" t="s">
        <v>1916</v>
      </c>
    </row>
    <row r="313" spans="9:31" x14ac:dyDescent="0.25">
      <c r="I313">
        <v>155</v>
      </c>
      <c r="J313" t="s">
        <v>777</v>
      </c>
      <c r="K313" t="s">
        <v>778</v>
      </c>
      <c r="L313">
        <v>25</v>
      </c>
      <c r="M313" s="12">
        <v>109.75</v>
      </c>
      <c r="N313" s="2">
        <v>38500.415000000001</v>
      </c>
      <c r="O313" s="12"/>
      <c r="AC313" s="11" t="s">
        <v>1917</v>
      </c>
      <c r="AD313" s="11" t="s">
        <v>1426</v>
      </c>
      <c r="AE313" s="11" t="s">
        <v>1918</v>
      </c>
    </row>
    <row r="314" spans="9:31" x14ac:dyDescent="0.25">
      <c r="I314">
        <v>193</v>
      </c>
      <c r="J314" t="s">
        <v>783</v>
      </c>
      <c r="K314" t="s">
        <v>784</v>
      </c>
      <c r="L314">
        <v>25</v>
      </c>
      <c r="M314" s="12">
        <v>109.75</v>
      </c>
      <c r="N314" s="2">
        <v>38498.687222222223</v>
      </c>
      <c r="O314" s="12"/>
      <c r="AC314" s="11" t="s">
        <v>1919</v>
      </c>
      <c r="AD314" s="11" t="s">
        <v>1466</v>
      </c>
      <c r="AE314" s="11" t="s">
        <v>1478</v>
      </c>
    </row>
    <row r="315" spans="9:31" x14ac:dyDescent="0.25">
      <c r="I315">
        <v>305</v>
      </c>
      <c r="J315" t="s">
        <v>798</v>
      </c>
      <c r="K315" t="s">
        <v>799</v>
      </c>
      <c r="L315">
        <v>25</v>
      </c>
      <c r="M315" s="12">
        <v>109.75</v>
      </c>
      <c r="N315" s="2">
        <v>38497.423773148148</v>
      </c>
      <c r="O315" s="12"/>
      <c r="AC315" s="11" t="s">
        <v>1920</v>
      </c>
      <c r="AD315" s="11" t="s">
        <v>1435</v>
      </c>
      <c r="AE315" s="11" t="s">
        <v>1921</v>
      </c>
    </row>
    <row r="316" spans="9:31" x14ac:dyDescent="0.25">
      <c r="I316">
        <v>460</v>
      </c>
      <c r="J316" t="s">
        <v>824</v>
      </c>
      <c r="K316" t="s">
        <v>825</v>
      </c>
      <c r="L316">
        <v>25</v>
      </c>
      <c r="M316" s="12">
        <v>109.75</v>
      </c>
      <c r="N316" s="2">
        <v>38498.427349537036</v>
      </c>
      <c r="O316" s="12"/>
      <c r="AC316" s="11" t="s">
        <v>1922</v>
      </c>
      <c r="AD316" s="11" t="s">
        <v>1410</v>
      </c>
      <c r="AE316" s="11" t="s">
        <v>1815</v>
      </c>
    </row>
    <row r="317" spans="9:31" x14ac:dyDescent="0.25">
      <c r="I317">
        <v>562</v>
      </c>
      <c r="J317" t="s">
        <v>842</v>
      </c>
      <c r="K317" t="s">
        <v>843</v>
      </c>
      <c r="L317">
        <v>25</v>
      </c>
      <c r="M317" s="12">
        <v>109.75</v>
      </c>
      <c r="N317" s="2">
        <v>38501.67633101852</v>
      </c>
      <c r="O317" s="12"/>
      <c r="AC317" s="11" t="s">
        <v>1923</v>
      </c>
      <c r="AD317" s="11" t="s">
        <v>1392</v>
      </c>
      <c r="AE317" s="11" t="s">
        <v>1924</v>
      </c>
    </row>
    <row r="318" spans="9:31" x14ac:dyDescent="0.25">
      <c r="I318">
        <v>121</v>
      </c>
      <c r="J318" t="s">
        <v>672</v>
      </c>
      <c r="K318" t="s">
        <v>673</v>
      </c>
      <c r="L318">
        <v>26</v>
      </c>
      <c r="M318" s="12">
        <v>109.74</v>
      </c>
      <c r="N318" s="2">
        <v>38498.391967592594</v>
      </c>
      <c r="O318" s="12"/>
      <c r="AC318" s="11" t="s">
        <v>1925</v>
      </c>
      <c r="AD318" s="11" t="s">
        <v>1472</v>
      </c>
      <c r="AE318" s="11" t="s">
        <v>1926</v>
      </c>
    </row>
    <row r="319" spans="9:31" x14ac:dyDescent="0.25">
      <c r="I319">
        <v>333</v>
      </c>
      <c r="J319" t="s">
        <v>628</v>
      </c>
      <c r="K319" t="s">
        <v>629</v>
      </c>
      <c r="L319">
        <v>27</v>
      </c>
      <c r="M319" s="12">
        <v>109.73</v>
      </c>
      <c r="N319" s="2">
        <v>38496.961585648147</v>
      </c>
      <c r="O319" s="12"/>
      <c r="AC319" s="11" t="s">
        <v>1927</v>
      </c>
      <c r="AD319" s="11" t="s">
        <v>1426</v>
      </c>
      <c r="AE319" s="11" t="s">
        <v>1535</v>
      </c>
    </row>
    <row r="320" spans="9:31" x14ac:dyDescent="0.25">
      <c r="I320">
        <v>471</v>
      </c>
      <c r="J320" t="s">
        <v>33</v>
      </c>
      <c r="K320" t="s">
        <v>640</v>
      </c>
      <c r="L320">
        <v>27</v>
      </c>
      <c r="M320" s="12">
        <v>109.73</v>
      </c>
      <c r="N320" s="2">
        <v>38500.656701388885</v>
      </c>
      <c r="O320" s="12"/>
      <c r="AC320" s="11" t="s">
        <v>1928</v>
      </c>
      <c r="AD320" s="11" t="s">
        <v>1450</v>
      </c>
      <c r="AE320" s="11" t="s">
        <v>1668</v>
      </c>
    </row>
    <row r="321" spans="9:31" x14ac:dyDescent="0.25">
      <c r="I321">
        <v>290</v>
      </c>
      <c r="J321" t="s">
        <v>544</v>
      </c>
      <c r="K321" t="s">
        <v>545</v>
      </c>
      <c r="L321">
        <v>28</v>
      </c>
      <c r="M321" s="12">
        <v>109.72</v>
      </c>
      <c r="N321" s="2">
        <v>38498.073842592596</v>
      </c>
      <c r="O321" s="12"/>
      <c r="AC321" s="11" t="s">
        <v>1929</v>
      </c>
      <c r="AD321" s="11" t="s">
        <v>1472</v>
      </c>
      <c r="AE321" s="11" t="s">
        <v>1691</v>
      </c>
    </row>
    <row r="322" spans="9:31" x14ac:dyDescent="0.25">
      <c r="I322">
        <v>574</v>
      </c>
      <c r="J322" t="s">
        <v>577</v>
      </c>
      <c r="K322" t="s">
        <v>578</v>
      </c>
      <c r="L322">
        <v>28</v>
      </c>
      <c r="M322" s="12">
        <v>109.72</v>
      </c>
      <c r="N322" s="2">
        <v>38499.694907407407</v>
      </c>
      <c r="O322" s="12"/>
      <c r="AC322" s="11" t="s">
        <v>1930</v>
      </c>
      <c r="AD322" s="11" t="s">
        <v>1463</v>
      </c>
      <c r="AE322" s="11" t="s">
        <v>1776</v>
      </c>
    </row>
    <row r="323" spans="9:31" x14ac:dyDescent="0.25">
      <c r="I323">
        <v>405</v>
      </c>
      <c r="J323" t="s">
        <v>281</v>
      </c>
      <c r="K323" t="s">
        <v>282</v>
      </c>
      <c r="L323">
        <v>32</v>
      </c>
      <c r="M323" s="12">
        <v>109.68</v>
      </c>
      <c r="N323" s="2">
        <v>38497.820474537039</v>
      </c>
      <c r="O323" s="12"/>
      <c r="AC323" s="11" t="s">
        <v>1931</v>
      </c>
      <c r="AD323" s="11" t="s">
        <v>1459</v>
      </c>
      <c r="AE323" s="11" t="s">
        <v>1460</v>
      </c>
    </row>
    <row r="324" spans="9:31" x14ac:dyDescent="0.25">
      <c r="I324">
        <v>47</v>
      </c>
      <c r="J324" t="s">
        <v>1013</v>
      </c>
      <c r="K324" t="s">
        <v>1014</v>
      </c>
      <c r="L324">
        <v>22</v>
      </c>
      <c r="M324" s="12">
        <v>108.78</v>
      </c>
      <c r="N324" s="2">
        <v>38498.15724537037</v>
      </c>
      <c r="O324" s="12"/>
      <c r="AC324" s="11" t="s">
        <v>1932</v>
      </c>
      <c r="AD324" s="11" t="s">
        <v>1461</v>
      </c>
      <c r="AE324" s="11" t="s">
        <v>1529</v>
      </c>
    </row>
    <row r="325" spans="9:31" x14ac:dyDescent="0.25">
      <c r="I325">
        <v>541</v>
      </c>
      <c r="J325" t="s">
        <v>910</v>
      </c>
      <c r="K325" t="s">
        <v>911</v>
      </c>
      <c r="L325">
        <v>24</v>
      </c>
      <c r="M325" s="12">
        <v>108.76</v>
      </c>
      <c r="N325" s="2">
        <v>38503.136284722219</v>
      </c>
      <c r="O325" s="12"/>
      <c r="AC325" s="11" t="s">
        <v>1933</v>
      </c>
      <c r="AD325" s="11" t="s">
        <v>1452</v>
      </c>
      <c r="AE325" s="11" t="s">
        <v>1460</v>
      </c>
    </row>
    <row r="326" spans="9:31" x14ac:dyDescent="0.25">
      <c r="I326">
        <v>201</v>
      </c>
      <c r="J326" t="s">
        <v>787</v>
      </c>
      <c r="K326" t="s">
        <v>788</v>
      </c>
      <c r="L326">
        <v>25</v>
      </c>
      <c r="M326" s="12">
        <v>108.75</v>
      </c>
      <c r="N326" s="2">
        <v>38498.952511574076</v>
      </c>
      <c r="O326" s="12"/>
      <c r="AC326" s="11" t="s">
        <v>1934</v>
      </c>
      <c r="AD326" s="11" t="s">
        <v>1398</v>
      </c>
      <c r="AE326" s="11" t="s">
        <v>1791</v>
      </c>
    </row>
    <row r="327" spans="9:31" x14ac:dyDescent="0.25">
      <c r="I327">
        <v>572</v>
      </c>
      <c r="J327" t="s">
        <v>844</v>
      </c>
      <c r="K327" t="s">
        <v>845</v>
      </c>
      <c r="L327">
        <v>25</v>
      </c>
      <c r="M327" s="12">
        <v>108.75</v>
      </c>
      <c r="N327" s="2">
        <v>38500.360439814816</v>
      </c>
      <c r="O327" s="12"/>
      <c r="AC327" s="11" t="s">
        <v>1935</v>
      </c>
      <c r="AD327" s="11" t="s">
        <v>1463</v>
      </c>
      <c r="AE327" s="11" t="s">
        <v>1569</v>
      </c>
    </row>
    <row r="328" spans="9:31" x14ac:dyDescent="0.25">
      <c r="I328">
        <v>587</v>
      </c>
      <c r="J328" t="s">
        <v>757</v>
      </c>
      <c r="K328" t="s">
        <v>758</v>
      </c>
      <c r="L328">
        <v>26</v>
      </c>
      <c r="M328" s="12">
        <v>108.74</v>
      </c>
      <c r="N328" s="2">
        <v>38498.199374999997</v>
      </c>
      <c r="O328" s="12"/>
      <c r="AC328" s="11" t="s">
        <v>1936</v>
      </c>
      <c r="AD328" s="11" t="s">
        <v>1450</v>
      </c>
      <c r="AE328" s="11" t="s">
        <v>1573</v>
      </c>
    </row>
    <row r="329" spans="9:31" x14ac:dyDescent="0.25">
      <c r="I329">
        <v>145</v>
      </c>
      <c r="J329" t="s">
        <v>524</v>
      </c>
      <c r="K329" t="s">
        <v>525</v>
      </c>
      <c r="L329">
        <v>28</v>
      </c>
      <c r="M329" s="12">
        <v>108.72</v>
      </c>
      <c r="N329" s="2">
        <v>38500.045428240737</v>
      </c>
      <c r="O329" s="12"/>
      <c r="AC329" s="11" t="s">
        <v>1937</v>
      </c>
      <c r="AD329" s="11" t="s">
        <v>1474</v>
      </c>
      <c r="AE329" s="11" t="s">
        <v>1938</v>
      </c>
    </row>
    <row r="330" spans="9:31" x14ac:dyDescent="0.25">
      <c r="I330">
        <v>275</v>
      </c>
      <c r="J330" t="s">
        <v>384</v>
      </c>
      <c r="K330" t="s">
        <v>385</v>
      </c>
      <c r="L330">
        <v>30</v>
      </c>
      <c r="M330" s="12">
        <v>108.7</v>
      </c>
      <c r="N330" s="2">
        <v>38499.135682870372</v>
      </c>
      <c r="O330" s="12"/>
      <c r="AC330" s="11" t="s">
        <v>1939</v>
      </c>
      <c r="AD330" s="11" t="s">
        <v>1474</v>
      </c>
      <c r="AE330" s="11" t="s">
        <v>1940</v>
      </c>
    </row>
    <row r="331" spans="9:31" x14ac:dyDescent="0.25">
      <c r="I331">
        <v>246</v>
      </c>
      <c r="J331" t="s">
        <v>953</v>
      </c>
      <c r="K331" t="s">
        <v>954</v>
      </c>
      <c r="L331">
        <v>23</v>
      </c>
      <c r="M331" s="12">
        <v>107.77</v>
      </c>
      <c r="N331" s="2">
        <v>38497.865405092591</v>
      </c>
      <c r="O331" s="12"/>
      <c r="AC331" s="11" t="s">
        <v>1941</v>
      </c>
      <c r="AD331" s="11" t="s">
        <v>1435</v>
      </c>
      <c r="AE331" s="11" t="s">
        <v>1942</v>
      </c>
    </row>
    <row r="332" spans="9:31" x14ac:dyDescent="0.25">
      <c r="I332">
        <v>249</v>
      </c>
      <c r="J332" t="s">
        <v>955</v>
      </c>
      <c r="K332" t="s">
        <v>956</v>
      </c>
      <c r="L332">
        <v>23</v>
      </c>
      <c r="M332" s="12">
        <v>107.77</v>
      </c>
      <c r="N332" s="2">
        <v>38498.974247685182</v>
      </c>
      <c r="O332" s="12"/>
      <c r="AC332" s="11" t="s">
        <v>1943</v>
      </c>
      <c r="AD332" s="11" t="s">
        <v>1470</v>
      </c>
      <c r="AE332" s="11" t="s">
        <v>1944</v>
      </c>
    </row>
    <row r="333" spans="9:31" x14ac:dyDescent="0.25">
      <c r="I333">
        <v>127</v>
      </c>
      <c r="J333" t="s">
        <v>873</v>
      </c>
      <c r="K333" t="s">
        <v>874</v>
      </c>
      <c r="L333">
        <v>24</v>
      </c>
      <c r="M333" s="12">
        <v>107.76</v>
      </c>
      <c r="N333" s="2">
        <v>38499.812881944446</v>
      </c>
      <c r="O333" s="12"/>
      <c r="AC333" s="11" t="s">
        <v>1945</v>
      </c>
      <c r="AD333" s="11" t="s">
        <v>1472</v>
      </c>
      <c r="AE333" s="11" t="s">
        <v>1946</v>
      </c>
    </row>
    <row r="334" spans="9:31" x14ac:dyDescent="0.25">
      <c r="I334">
        <v>553</v>
      </c>
      <c r="J334" t="s">
        <v>912</v>
      </c>
      <c r="K334" t="s">
        <v>913</v>
      </c>
      <c r="L334">
        <v>24</v>
      </c>
      <c r="M334" s="12">
        <v>107.76</v>
      </c>
      <c r="N334" s="2">
        <v>38501.678553240738</v>
      </c>
      <c r="O334" s="12"/>
      <c r="AC334" s="11" t="s">
        <v>1947</v>
      </c>
      <c r="AD334" s="11" t="s">
        <v>1410</v>
      </c>
      <c r="AE334" s="11" t="s">
        <v>1948</v>
      </c>
    </row>
    <row r="335" spans="9:31" x14ac:dyDescent="0.25">
      <c r="I335">
        <v>109</v>
      </c>
      <c r="J335" t="s">
        <v>668</v>
      </c>
      <c r="K335" t="s">
        <v>669</v>
      </c>
      <c r="L335">
        <v>26</v>
      </c>
      <c r="M335" s="12">
        <v>107.74</v>
      </c>
      <c r="N335" s="2">
        <v>38498.311076388891</v>
      </c>
      <c r="O335" s="12"/>
      <c r="AC335" s="11" t="s">
        <v>1949</v>
      </c>
      <c r="AD335" s="11" t="s">
        <v>1433</v>
      </c>
      <c r="AE335" s="11" t="s">
        <v>1950</v>
      </c>
    </row>
    <row r="336" spans="9:31" x14ac:dyDescent="0.25">
      <c r="I336">
        <v>261</v>
      </c>
      <c r="J336" t="s">
        <v>698</v>
      </c>
      <c r="K336" t="s">
        <v>699</v>
      </c>
      <c r="L336">
        <v>26</v>
      </c>
      <c r="M336" s="12">
        <v>107.74</v>
      </c>
      <c r="N336" s="2">
        <v>38497.013506944444</v>
      </c>
      <c r="O336" s="12"/>
      <c r="AC336" s="11" t="s">
        <v>1951</v>
      </c>
      <c r="AD336" s="11" t="s">
        <v>1469</v>
      </c>
      <c r="AE336" s="11" t="s">
        <v>1952</v>
      </c>
    </row>
    <row r="337" spans="9:31" x14ac:dyDescent="0.25">
      <c r="I337">
        <v>581</v>
      </c>
      <c r="J337" t="s">
        <v>652</v>
      </c>
      <c r="K337" t="s">
        <v>653</v>
      </c>
      <c r="L337">
        <v>27</v>
      </c>
      <c r="M337" s="12">
        <v>107.73</v>
      </c>
      <c r="N337" s="2">
        <v>38502.8828587963</v>
      </c>
      <c r="O337" s="12"/>
      <c r="AC337" s="11" t="s">
        <v>1280</v>
      </c>
      <c r="AD337" s="11" t="s">
        <v>1463</v>
      </c>
      <c r="AE337" s="11" t="s">
        <v>1953</v>
      </c>
    </row>
    <row r="338" spans="9:31" x14ac:dyDescent="0.25">
      <c r="I338">
        <v>52</v>
      </c>
      <c r="J338" t="s">
        <v>438</v>
      </c>
      <c r="K338" t="s">
        <v>439</v>
      </c>
      <c r="L338">
        <v>29</v>
      </c>
      <c r="M338" s="12">
        <v>107.71</v>
      </c>
      <c r="N338" s="2">
        <v>38502.233576388891</v>
      </c>
      <c r="O338" s="12"/>
      <c r="AC338" s="11" t="s">
        <v>1954</v>
      </c>
      <c r="AD338" s="11" t="s">
        <v>1426</v>
      </c>
      <c r="AE338" s="11" t="s">
        <v>1955</v>
      </c>
    </row>
    <row r="339" spans="9:31" x14ac:dyDescent="0.25">
      <c r="I339">
        <v>418</v>
      </c>
      <c r="J339" t="s">
        <v>412</v>
      </c>
      <c r="K339" t="s">
        <v>413</v>
      </c>
      <c r="L339">
        <v>30</v>
      </c>
      <c r="M339" s="12">
        <v>107.7</v>
      </c>
      <c r="N339" s="2">
        <v>38522.855775462966</v>
      </c>
      <c r="O339" s="12"/>
      <c r="AC339" s="11" t="s">
        <v>1956</v>
      </c>
      <c r="AD339" s="11" t="s">
        <v>1453</v>
      </c>
      <c r="AE339" s="11" t="s">
        <v>1851</v>
      </c>
    </row>
    <row r="340" spans="9:31" x14ac:dyDescent="0.25">
      <c r="I340">
        <v>452</v>
      </c>
      <c r="J340" t="s">
        <v>287</v>
      </c>
      <c r="K340" t="s">
        <v>288</v>
      </c>
      <c r="L340">
        <v>32</v>
      </c>
      <c r="M340" s="12">
        <v>107.68</v>
      </c>
      <c r="N340" s="2">
        <v>38499.258634259262</v>
      </c>
      <c r="O340" s="12"/>
      <c r="AC340" s="11" t="s">
        <v>1957</v>
      </c>
      <c r="AD340" s="11" t="s">
        <v>1459</v>
      </c>
      <c r="AE340" s="11" t="s">
        <v>1958</v>
      </c>
    </row>
    <row r="341" spans="9:31" x14ac:dyDescent="0.25">
      <c r="I341">
        <v>341</v>
      </c>
      <c r="J341" t="s">
        <v>966</v>
      </c>
      <c r="K341" t="s">
        <v>967</v>
      </c>
      <c r="L341">
        <v>23</v>
      </c>
      <c r="M341" s="12">
        <v>106.77</v>
      </c>
      <c r="N341" s="2">
        <v>38518.440578703703</v>
      </c>
      <c r="O341" s="12"/>
      <c r="AC341" s="11" t="s">
        <v>1959</v>
      </c>
      <c r="AD341" s="11" t="s">
        <v>1406</v>
      </c>
      <c r="AE341" s="11" t="s">
        <v>1518</v>
      </c>
    </row>
    <row r="342" spans="9:31" x14ac:dyDescent="0.25">
      <c r="I342">
        <v>345</v>
      </c>
      <c r="J342" t="s">
        <v>968</v>
      </c>
      <c r="K342" t="s">
        <v>969</v>
      </c>
      <c r="L342">
        <v>23</v>
      </c>
      <c r="M342" s="12">
        <v>106.77</v>
      </c>
      <c r="N342" s="2">
        <v>38498.334652777776</v>
      </c>
      <c r="O342" s="12"/>
      <c r="AC342" s="11" t="s">
        <v>1960</v>
      </c>
      <c r="AD342" s="11" t="s">
        <v>1459</v>
      </c>
      <c r="AE342" s="11" t="s">
        <v>1961</v>
      </c>
    </row>
    <row r="343" spans="9:31" x14ac:dyDescent="0.25">
      <c r="I343">
        <v>379</v>
      </c>
      <c r="J343" t="s">
        <v>978</v>
      </c>
      <c r="K343" t="s">
        <v>979</v>
      </c>
      <c r="L343">
        <v>23</v>
      </c>
      <c r="M343" s="12">
        <v>106.77</v>
      </c>
      <c r="N343" s="2">
        <v>38498.34306712963</v>
      </c>
      <c r="O343" s="12"/>
      <c r="AC343" s="11" t="s">
        <v>1962</v>
      </c>
      <c r="AD343" s="11" t="s">
        <v>1406</v>
      </c>
      <c r="AE343" s="11" t="s">
        <v>1963</v>
      </c>
    </row>
    <row r="344" spans="9:31" x14ac:dyDescent="0.25">
      <c r="I344">
        <v>11</v>
      </c>
      <c r="J344" t="s">
        <v>854</v>
      </c>
      <c r="K344" t="s">
        <v>855</v>
      </c>
      <c r="L344">
        <v>24</v>
      </c>
      <c r="M344" s="12">
        <v>106.76</v>
      </c>
      <c r="N344" s="2">
        <v>38502.957777777781</v>
      </c>
      <c r="O344" s="12"/>
      <c r="AC344" s="11" t="s">
        <v>1964</v>
      </c>
      <c r="AD344" s="11" t="s">
        <v>1470</v>
      </c>
      <c r="AE344" s="11" t="s">
        <v>1644</v>
      </c>
    </row>
    <row r="345" spans="9:31" x14ac:dyDescent="0.25">
      <c r="I345">
        <v>98</v>
      </c>
      <c r="J345" t="s">
        <v>773</v>
      </c>
      <c r="K345" t="s">
        <v>774</v>
      </c>
      <c r="L345">
        <v>25</v>
      </c>
      <c r="M345" s="12">
        <v>106.75</v>
      </c>
      <c r="N345" s="2">
        <v>38498.3672337963</v>
      </c>
      <c r="O345" s="12"/>
      <c r="AC345" s="11" t="s">
        <v>1965</v>
      </c>
      <c r="AD345" s="11" t="s">
        <v>1403</v>
      </c>
      <c r="AE345" s="11" t="s">
        <v>1966</v>
      </c>
    </row>
    <row r="346" spans="9:31" x14ac:dyDescent="0.25">
      <c r="I346">
        <v>160</v>
      </c>
      <c r="J346" t="s">
        <v>607</v>
      </c>
      <c r="K346" t="s">
        <v>608</v>
      </c>
      <c r="L346">
        <v>27</v>
      </c>
      <c r="M346" s="12">
        <v>106.73</v>
      </c>
      <c r="N346" s="2">
        <v>38521.377303240741</v>
      </c>
      <c r="O346" s="12"/>
      <c r="AC346" s="11" t="s">
        <v>1967</v>
      </c>
      <c r="AD346" s="11" t="s">
        <v>1450</v>
      </c>
      <c r="AE346" s="11" t="s">
        <v>1634</v>
      </c>
    </row>
    <row r="347" spans="9:31" x14ac:dyDescent="0.25">
      <c r="I347">
        <v>381</v>
      </c>
      <c r="J347" t="s">
        <v>142</v>
      </c>
      <c r="K347" t="s">
        <v>143</v>
      </c>
      <c r="L347">
        <v>35</v>
      </c>
      <c r="M347" s="12">
        <v>106.65</v>
      </c>
      <c r="N347" s="2">
        <v>38498.131597222222</v>
      </c>
      <c r="O347" s="12"/>
      <c r="AC347" s="11" t="s">
        <v>1968</v>
      </c>
      <c r="AD347" s="11" t="s">
        <v>1433</v>
      </c>
      <c r="AE347" s="11" t="s">
        <v>1969</v>
      </c>
    </row>
    <row r="348" spans="9:31" x14ac:dyDescent="0.25">
      <c r="I348">
        <v>429</v>
      </c>
      <c r="J348" t="s">
        <v>1100</v>
      </c>
      <c r="K348" t="s">
        <v>1101</v>
      </c>
      <c r="L348">
        <v>21</v>
      </c>
      <c r="M348" s="12">
        <v>105.79</v>
      </c>
      <c r="N348" s="2">
        <v>38498.019895833335</v>
      </c>
      <c r="O348" s="12"/>
      <c r="AC348" s="11" t="s">
        <v>1970</v>
      </c>
      <c r="AD348" s="11" t="s">
        <v>1457</v>
      </c>
      <c r="AE348" s="11" t="s">
        <v>1971</v>
      </c>
    </row>
    <row r="349" spans="9:31" x14ac:dyDescent="0.25">
      <c r="I349">
        <v>150</v>
      </c>
      <c r="J349" t="s">
        <v>775</v>
      </c>
      <c r="K349" t="s">
        <v>776</v>
      </c>
      <c r="L349">
        <v>25</v>
      </c>
      <c r="M349" s="12">
        <v>105.75</v>
      </c>
      <c r="N349" s="2">
        <v>38499.647164351853</v>
      </c>
      <c r="O349" s="12"/>
      <c r="AC349" s="11" t="s">
        <v>1972</v>
      </c>
      <c r="AD349" s="11" t="s">
        <v>1470</v>
      </c>
      <c r="AE349" s="11" t="s">
        <v>1973</v>
      </c>
    </row>
    <row r="350" spans="9:31" x14ac:dyDescent="0.25">
      <c r="I350">
        <v>308</v>
      </c>
      <c r="J350" t="s">
        <v>505</v>
      </c>
      <c r="K350" t="s">
        <v>800</v>
      </c>
      <c r="L350">
        <v>25</v>
      </c>
      <c r="M350" s="12">
        <v>105.75</v>
      </c>
      <c r="N350" s="2">
        <v>38500.519328703704</v>
      </c>
      <c r="O350" s="12"/>
      <c r="AC350" s="11" t="s">
        <v>1974</v>
      </c>
      <c r="AD350" s="11" t="s">
        <v>1423</v>
      </c>
      <c r="AE350" s="11" t="s">
        <v>1552</v>
      </c>
    </row>
    <row r="351" spans="9:31" x14ac:dyDescent="0.25">
      <c r="I351">
        <v>414</v>
      </c>
      <c r="J351" t="s">
        <v>812</v>
      </c>
      <c r="K351" t="s">
        <v>813</v>
      </c>
      <c r="L351">
        <v>25</v>
      </c>
      <c r="M351" s="12">
        <v>105.75</v>
      </c>
      <c r="N351" s="2">
        <v>38497.545532407406</v>
      </c>
      <c r="O351" s="12"/>
      <c r="AC351" s="11" t="s">
        <v>1278</v>
      </c>
      <c r="AD351" s="11" t="s">
        <v>1410</v>
      </c>
      <c r="AE351" s="11" t="s">
        <v>1975</v>
      </c>
    </row>
    <row r="352" spans="9:31" x14ac:dyDescent="0.25">
      <c r="I352">
        <v>517</v>
      </c>
      <c r="J352" t="s">
        <v>832</v>
      </c>
      <c r="K352" t="s">
        <v>833</v>
      </c>
      <c r="L352">
        <v>25</v>
      </c>
      <c r="M352" s="12">
        <v>105.75</v>
      </c>
      <c r="N352" s="2">
        <v>38502.066111111111</v>
      </c>
      <c r="O352" s="12"/>
      <c r="AC352" s="11" t="s">
        <v>1976</v>
      </c>
      <c r="AD352" s="11" t="s">
        <v>1461</v>
      </c>
      <c r="AE352" s="11" t="s">
        <v>1579</v>
      </c>
    </row>
    <row r="353" spans="9:31" x14ac:dyDescent="0.25">
      <c r="I353">
        <v>96</v>
      </c>
      <c r="J353" t="s">
        <v>598</v>
      </c>
      <c r="K353" t="s">
        <v>109</v>
      </c>
      <c r="L353">
        <v>27</v>
      </c>
      <c r="M353" s="12">
        <v>105.73</v>
      </c>
      <c r="N353" s="2">
        <v>38518.299756944441</v>
      </c>
      <c r="O353" s="12"/>
      <c r="AC353" s="11" t="s">
        <v>1977</v>
      </c>
      <c r="AD353" s="11" t="s">
        <v>1395</v>
      </c>
      <c r="AE353" s="11" t="s">
        <v>1656</v>
      </c>
    </row>
    <row r="354" spans="9:31" x14ac:dyDescent="0.25">
      <c r="I354">
        <v>397</v>
      </c>
      <c r="J354" t="s">
        <v>473</v>
      </c>
      <c r="K354" t="s">
        <v>474</v>
      </c>
      <c r="L354">
        <v>29</v>
      </c>
      <c r="M354" s="12">
        <v>105.71</v>
      </c>
      <c r="N354" s="2">
        <v>38503.03328703704</v>
      </c>
      <c r="O354" s="12"/>
      <c r="AC354" s="11" t="s">
        <v>1978</v>
      </c>
      <c r="AD354" s="11" t="s">
        <v>1474</v>
      </c>
      <c r="AE354" s="11" t="s">
        <v>1736</v>
      </c>
    </row>
    <row r="355" spans="9:31" x14ac:dyDescent="0.25">
      <c r="I355">
        <v>247</v>
      </c>
      <c r="J355" t="s">
        <v>1030</v>
      </c>
      <c r="K355" t="s">
        <v>1031</v>
      </c>
      <c r="L355">
        <v>22</v>
      </c>
      <c r="M355" s="12">
        <v>104.78</v>
      </c>
      <c r="N355" s="2">
        <v>38498.251168981478</v>
      </c>
      <c r="O355" s="12"/>
      <c r="AC355" s="11" t="s">
        <v>1979</v>
      </c>
      <c r="AD355" s="11" t="s">
        <v>1457</v>
      </c>
      <c r="AE355" s="11" t="s">
        <v>1533</v>
      </c>
    </row>
    <row r="356" spans="9:31" x14ac:dyDescent="0.25">
      <c r="I356">
        <v>409</v>
      </c>
      <c r="J356" t="s">
        <v>982</v>
      </c>
      <c r="K356" t="s">
        <v>983</v>
      </c>
      <c r="L356">
        <v>23</v>
      </c>
      <c r="M356" s="12">
        <v>104.77</v>
      </c>
      <c r="N356" s="2">
        <v>38498.945219907408</v>
      </c>
      <c r="O356" s="12"/>
      <c r="AC356" s="11" t="s">
        <v>1980</v>
      </c>
      <c r="AD356" s="11" t="s">
        <v>1452</v>
      </c>
      <c r="AE356" s="11" t="s">
        <v>1981</v>
      </c>
    </row>
    <row r="357" spans="9:31" x14ac:dyDescent="0.25">
      <c r="I357">
        <v>466</v>
      </c>
      <c r="J357" t="s">
        <v>994</v>
      </c>
      <c r="K357" t="s">
        <v>995</v>
      </c>
      <c r="L357">
        <v>23</v>
      </c>
      <c r="M357" s="12">
        <v>104.77</v>
      </c>
      <c r="N357" s="2">
        <v>38503.604178240741</v>
      </c>
      <c r="O357" s="12"/>
      <c r="AC357" s="11" t="s">
        <v>1982</v>
      </c>
      <c r="AD357" s="11" t="s">
        <v>1469</v>
      </c>
      <c r="AE357" s="11" t="s">
        <v>1700</v>
      </c>
    </row>
    <row r="358" spans="9:31" x14ac:dyDescent="0.25">
      <c r="I358">
        <v>270</v>
      </c>
      <c r="J358" t="s">
        <v>797</v>
      </c>
      <c r="K358" t="s">
        <v>73</v>
      </c>
      <c r="L358">
        <v>25</v>
      </c>
      <c r="M358" s="12">
        <v>104.75</v>
      </c>
      <c r="N358" s="2">
        <v>38498.279027777775</v>
      </c>
      <c r="O358" s="12"/>
      <c r="AC358" s="11" t="s">
        <v>1983</v>
      </c>
      <c r="AD358" s="11" t="s">
        <v>1398</v>
      </c>
      <c r="AE358" s="11" t="s">
        <v>1481</v>
      </c>
    </row>
    <row r="359" spans="9:31" x14ac:dyDescent="0.25">
      <c r="I359">
        <v>31</v>
      </c>
      <c r="J359" t="s">
        <v>660</v>
      </c>
      <c r="K359" t="s">
        <v>661</v>
      </c>
      <c r="L359">
        <v>26</v>
      </c>
      <c r="M359" s="12">
        <v>104.74</v>
      </c>
      <c r="N359" s="2">
        <v>38519.420601851853</v>
      </c>
      <c r="O359" s="12"/>
      <c r="AC359" s="11" t="s">
        <v>1984</v>
      </c>
      <c r="AD359" s="11" t="s">
        <v>1461</v>
      </c>
      <c r="AE359" s="11" t="s">
        <v>1985</v>
      </c>
    </row>
    <row r="360" spans="9:31" x14ac:dyDescent="0.25">
      <c r="I360">
        <v>312</v>
      </c>
      <c r="J360" t="s">
        <v>397</v>
      </c>
      <c r="K360" t="s">
        <v>712</v>
      </c>
      <c r="L360">
        <v>26</v>
      </c>
      <c r="M360" s="12">
        <v>104.74</v>
      </c>
      <c r="N360" s="2">
        <v>38498.471759259257</v>
      </c>
      <c r="O360" s="12"/>
      <c r="AC360" s="11" t="s">
        <v>1986</v>
      </c>
      <c r="AD360" s="11" t="s">
        <v>1429</v>
      </c>
      <c r="AE360" s="11" t="s">
        <v>1987</v>
      </c>
    </row>
    <row r="361" spans="9:31" x14ac:dyDescent="0.25">
      <c r="I361">
        <v>425</v>
      </c>
      <c r="J361" t="s">
        <v>731</v>
      </c>
      <c r="K361" t="s">
        <v>732</v>
      </c>
      <c r="L361">
        <v>26</v>
      </c>
      <c r="M361" s="12">
        <v>104.74</v>
      </c>
      <c r="N361" s="2">
        <v>38503.577638888892</v>
      </c>
      <c r="O361" s="12"/>
      <c r="AC361" s="11" t="s">
        <v>1988</v>
      </c>
      <c r="AD361" s="11" t="s">
        <v>1453</v>
      </c>
      <c r="AE361" s="11" t="s">
        <v>1482</v>
      </c>
    </row>
    <row r="362" spans="9:31" x14ac:dyDescent="0.25">
      <c r="I362">
        <v>391</v>
      </c>
      <c r="J362" t="s">
        <v>406</v>
      </c>
      <c r="K362" t="s">
        <v>407</v>
      </c>
      <c r="L362">
        <v>30</v>
      </c>
      <c r="M362" s="12">
        <v>104.7</v>
      </c>
      <c r="N362" s="2">
        <v>38497.458414351851</v>
      </c>
      <c r="O362" s="12"/>
      <c r="AC362" s="11" t="s">
        <v>1989</v>
      </c>
      <c r="AD362" s="11" t="s">
        <v>1403</v>
      </c>
      <c r="AE362" s="11" t="s">
        <v>1471</v>
      </c>
    </row>
    <row r="363" spans="9:31" x14ac:dyDescent="0.25">
      <c r="I363">
        <v>65</v>
      </c>
      <c r="J363" t="s">
        <v>310</v>
      </c>
      <c r="K363" t="s">
        <v>717</v>
      </c>
      <c r="L363">
        <v>22</v>
      </c>
      <c r="M363" s="12">
        <v>103.78</v>
      </c>
      <c r="N363" s="2">
        <v>38498.856481481482</v>
      </c>
      <c r="O363" s="12"/>
      <c r="AC363" s="11" t="s">
        <v>1990</v>
      </c>
      <c r="AD363" s="11" t="s">
        <v>1470</v>
      </c>
      <c r="AE363" s="11" t="s">
        <v>1719</v>
      </c>
    </row>
    <row r="364" spans="9:31" x14ac:dyDescent="0.25">
      <c r="I364">
        <v>365</v>
      </c>
      <c r="J364" t="s">
        <v>976</v>
      </c>
      <c r="K364" t="s">
        <v>977</v>
      </c>
      <c r="L364">
        <v>23</v>
      </c>
      <c r="M364" s="12">
        <v>103.77</v>
      </c>
      <c r="N364" s="2">
        <v>38497.81790509259</v>
      </c>
      <c r="O364" s="12"/>
      <c r="AC364" s="11" t="s">
        <v>1991</v>
      </c>
      <c r="AD364" s="11" t="s">
        <v>1472</v>
      </c>
      <c r="AE364" s="11" t="s">
        <v>1511</v>
      </c>
    </row>
    <row r="365" spans="9:31" x14ac:dyDescent="0.25">
      <c r="I365">
        <v>519</v>
      </c>
      <c r="J365" t="s">
        <v>998</v>
      </c>
      <c r="K365" t="s">
        <v>999</v>
      </c>
      <c r="L365">
        <v>23</v>
      </c>
      <c r="M365" s="12">
        <v>103.77</v>
      </c>
      <c r="N365" s="2">
        <v>38503.32508101852</v>
      </c>
      <c r="O365" s="12"/>
      <c r="AC365" s="11" t="s">
        <v>1992</v>
      </c>
      <c r="AD365" s="11" t="s">
        <v>1470</v>
      </c>
      <c r="AE365" s="11" t="s">
        <v>1554</v>
      </c>
    </row>
    <row r="366" spans="9:31" x14ac:dyDescent="0.25">
      <c r="I366">
        <v>475</v>
      </c>
      <c r="J366" t="s">
        <v>898</v>
      </c>
      <c r="K366" t="s">
        <v>899</v>
      </c>
      <c r="L366">
        <v>24</v>
      </c>
      <c r="M366" s="12">
        <v>103.76</v>
      </c>
      <c r="N366" s="2">
        <v>38499.630173611113</v>
      </c>
      <c r="O366" s="12"/>
      <c r="AC366" s="11" t="s">
        <v>1993</v>
      </c>
      <c r="AD366" s="11" t="s">
        <v>1392</v>
      </c>
      <c r="AE366" s="11" t="s">
        <v>1669</v>
      </c>
    </row>
    <row r="367" spans="9:31" x14ac:dyDescent="0.25">
      <c r="I367">
        <v>199</v>
      </c>
      <c r="J367" t="s">
        <v>785</v>
      </c>
      <c r="K367" t="s">
        <v>786</v>
      </c>
      <c r="L367">
        <v>25</v>
      </c>
      <c r="M367" s="12">
        <v>103.75</v>
      </c>
      <c r="N367" s="2">
        <v>38500.045219907406</v>
      </c>
      <c r="O367" s="12"/>
      <c r="AC367" s="11" t="s">
        <v>1994</v>
      </c>
      <c r="AD367" s="11" t="s">
        <v>1435</v>
      </c>
      <c r="AE367" s="11" t="s">
        <v>1825</v>
      </c>
    </row>
    <row r="368" spans="9:31" x14ac:dyDescent="0.25">
      <c r="I368">
        <v>324</v>
      </c>
      <c r="J368" t="s">
        <v>801</v>
      </c>
      <c r="K368" t="s">
        <v>802</v>
      </c>
      <c r="L368">
        <v>25</v>
      </c>
      <c r="M368" s="12">
        <v>103.75</v>
      </c>
      <c r="N368" s="2">
        <v>38500.382511574076</v>
      </c>
      <c r="O368" s="12"/>
      <c r="AC368" s="11" t="s">
        <v>1995</v>
      </c>
      <c r="AD368" s="11" t="s">
        <v>1457</v>
      </c>
      <c r="AE368" s="11" t="s">
        <v>1996</v>
      </c>
    </row>
    <row r="369" spans="9:31" x14ac:dyDescent="0.25">
      <c r="I369">
        <v>537</v>
      </c>
      <c r="J369" t="s">
        <v>839</v>
      </c>
      <c r="K369" t="s">
        <v>840</v>
      </c>
      <c r="L369">
        <v>25</v>
      </c>
      <c r="M369" s="12">
        <v>103.75</v>
      </c>
      <c r="N369" s="2">
        <v>38500.602673611109</v>
      </c>
      <c r="O369" s="12"/>
      <c r="AC369" s="11" t="s">
        <v>1997</v>
      </c>
      <c r="AD369" s="11" t="s">
        <v>1435</v>
      </c>
      <c r="AE369" s="11" t="s">
        <v>1458</v>
      </c>
    </row>
    <row r="370" spans="9:31" x14ac:dyDescent="0.25">
      <c r="I370">
        <v>546</v>
      </c>
      <c r="J370" t="s">
        <v>597</v>
      </c>
      <c r="K370" t="s">
        <v>841</v>
      </c>
      <c r="L370">
        <v>25</v>
      </c>
      <c r="M370" s="12">
        <v>103.75</v>
      </c>
      <c r="N370" s="2">
        <v>38498.291215277779</v>
      </c>
      <c r="O370" s="12"/>
      <c r="AC370" s="11" t="s">
        <v>1998</v>
      </c>
      <c r="AD370" s="11" t="s">
        <v>1418</v>
      </c>
      <c r="AE370" s="11" t="s">
        <v>1614</v>
      </c>
    </row>
    <row r="371" spans="9:31" x14ac:dyDescent="0.25">
      <c r="I371">
        <v>202</v>
      </c>
      <c r="J371" t="s">
        <v>683</v>
      </c>
      <c r="K371" t="s">
        <v>684</v>
      </c>
      <c r="L371">
        <v>26</v>
      </c>
      <c r="M371" s="12">
        <v>103.74</v>
      </c>
      <c r="N371" s="2">
        <v>38518.872013888889</v>
      </c>
      <c r="O371" s="12"/>
      <c r="AC371" s="11" t="s">
        <v>1276</v>
      </c>
      <c r="AD371" s="11" t="s">
        <v>1423</v>
      </c>
      <c r="AE371" s="11" t="s">
        <v>1825</v>
      </c>
    </row>
    <row r="372" spans="9:31" x14ac:dyDescent="0.25">
      <c r="I372">
        <v>74</v>
      </c>
      <c r="J372" t="s">
        <v>596</v>
      </c>
      <c r="K372" t="s">
        <v>597</v>
      </c>
      <c r="L372">
        <v>27</v>
      </c>
      <c r="M372" s="12">
        <v>103.73</v>
      </c>
      <c r="N372" s="2">
        <v>38503.692777777775</v>
      </c>
      <c r="O372" s="12"/>
      <c r="AC372" s="11" t="s">
        <v>1999</v>
      </c>
      <c r="AD372" s="11" t="s">
        <v>1446</v>
      </c>
      <c r="AE372" s="11" t="s">
        <v>1505</v>
      </c>
    </row>
    <row r="373" spans="9:31" x14ac:dyDescent="0.25">
      <c r="I373">
        <v>282</v>
      </c>
      <c r="J373" t="s">
        <v>620</v>
      </c>
      <c r="K373" t="s">
        <v>621</v>
      </c>
      <c r="L373">
        <v>27</v>
      </c>
      <c r="M373" s="12">
        <v>103.73</v>
      </c>
      <c r="N373" s="2">
        <v>38497.264421296299</v>
      </c>
      <c r="O373" s="12"/>
      <c r="AC373" s="11" t="s">
        <v>2000</v>
      </c>
      <c r="AD373" s="11" t="s">
        <v>1459</v>
      </c>
      <c r="AE373" s="11" t="s">
        <v>1942</v>
      </c>
    </row>
    <row r="374" spans="9:31" x14ac:dyDescent="0.25">
      <c r="I374">
        <v>383</v>
      </c>
      <c r="J374" t="s">
        <v>509</v>
      </c>
      <c r="K374" t="s">
        <v>630</v>
      </c>
      <c r="L374">
        <v>27</v>
      </c>
      <c r="M374" s="12">
        <v>103.73</v>
      </c>
      <c r="N374" s="2">
        <v>38497.388379629629</v>
      </c>
      <c r="O374" s="12"/>
      <c r="AC374" s="11" t="s">
        <v>2001</v>
      </c>
      <c r="AD374" s="11" t="s">
        <v>1413</v>
      </c>
      <c r="AE374" s="11" t="s">
        <v>1747</v>
      </c>
    </row>
    <row r="375" spans="9:31" x14ac:dyDescent="0.25">
      <c r="I375">
        <v>12</v>
      </c>
      <c r="J375" t="s">
        <v>504</v>
      </c>
      <c r="K375" t="s">
        <v>505</v>
      </c>
      <c r="L375">
        <v>28</v>
      </c>
      <c r="M375" s="12">
        <v>103.72</v>
      </c>
      <c r="N375" s="2">
        <v>38502.963923611111</v>
      </c>
      <c r="O375" s="12"/>
      <c r="AC375" s="11" t="s">
        <v>2002</v>
      </c>
      <c r="AD375" s="11" t="s">
        <v>1469</v>
      </c>
      <c r="AE375" s="11" t="s">
        <v>2003</v>
      </c>
    </row>
    <row r="376" spans="9:31" x14ac:dyDescent="0.25">
      <c r="I376">
        <v>374</v>
      </c>
      <c r="J376" t="s">
        <v>554</v>
      </c>
      <c r="K376" t="s">
        <v>555</v>
      </c>
      <c r="L376">
        <v>28</v>
      </c>
      <c r="M376" s="12">
        <v>103.72</v>
      </c>
      <c r="N376" s="2">
        <v>38500.147476851853</v>
      </c>
      <c r="O376" s="12"/>
      <c r="AC376" s="11" t="s">
        <v>2004</v>
      </c>
      <c r="AD376" s="11" t="s">
        <v>1461</v>
      </c>
      <c r="AE376" s="11" t="s">
        <v>1579</v>
      </c>
    </row>
    <row r="377" spans="9:31" x14ac:dyDescent="0.25">
      <c r="I377">
        <v>100</v>
      </c>
      <c r="J377" t="s">
        <v>865</v>
      </c>
      <c r="K377" t="s">
        <v>866</v>
      </c>
      <c r="L377">
        <v>24</v>
      </c>
      <c r="M377" s="12">
        <v>102.76</v>
      </c>
      <c r="N377" s="2">
        <v>38497.435173611113</v>
      </c>
      <c r="O377" s="12"/>
      <c r="AC377" s="11" t="s">
        <v>2005</v>
      </c>
      <c r="AD377" s="11" t="s">
        <v>1470</v>
      </c>
      <c r="AE377" s="11" t="s">
        <v>1473</v>
      </c>
    </row>
    <row r="378" spans="9:31" x14ac:dyDescent="0.25">
      <c r="I378">
        <v>445</v>
      </c>
      <c r="J378" t="s">
        <v>733</v>
      </c>
      <c r="K378" t="s">
        <v>734</v>
      </c>
      <c r="L378">
        <v>26</v>
      </c>
      <c r="M378" s="12">
        <v>102.74</v>
      </c>
      <c r="N378" s="2">
        <v>38499.951006944444</v>
      </c>
      <c r="O378" s="12"/>
      <c r="AC378" s="11" t="s">
        <v>2006</v>
      </c>
      <c r="AD378" s="11" t="s">
        <v>1406</v>
      </c>
      <c r="AE378" s="11" t="s">
        <v>1732</v>
      </c>
    </row>
    <row r="379" spans="9:31" x14ac:dyDescent="0.25">
      <c r="I379">
        <v>367</v>
      </c>
      <c r="J379" t="s">
        <v>570</v>
      </c>
      <c r="K379" t="s">
        <v>1038</v>
      </c>
      <c r="L379">
        <v>22</v>
      </c>
      <c r="M379" s="12">
        <v>101.78</v>
      </c>
      <c r="N379" s="2">
        <v>38502.617754629631</v>
      </c>
      <c r="O379" s="12"/>
      <c r="AC379" s="11" t="s">
        <v>2007</v>
      </c>
      <c r="AD379" s="11" t="s">
        <v>1474</v>
      </c>
      <c r="AE379" s="11" t="s">
        <v>1460</v>
      </c>
    </row>
    <row r="380" spans="9:31" x14ac:dyDescent="0.25">
      <c r="I380">
        <v>480</v>
      </c>
      <c r="J380" t="s">
        <v>1049</v>
      </c>
      <c r="K380" t="s">
        <v>1050</v>
      </c>
      <c r="L380">
        <v>22</v>
      </c>
      <c r="M380" s="12">
        <v>101.78</v>
      </c>
      <c r="N380" s="2">
        <v>38500.137523148151</v>
      </c>
      <c r="O380" s="12"/>
      <c r="AC380" s="11" t="s">
        <v>2008</v>
      </c>
      <c r="AD380" s="11" t="s">
        <v>1413</v>
      </c>
      <c r="AE380" s="11" t="s">
        <v>2009</v>
      </c>
    </row>
    <row r="381" spans="9:31" x14ac:dyDescent="0.25">
      <c r="I381">
        <v>554</v>
      </c>
      <c r="J381" t="s">
        <v>1061</v>
      </c>
      <c r="K381" t="s">
        <v>1062</v>
      </c>
      <c r="L381">
        <v>22</v>
      </c>
      <c r="M381" s="12">
        <v>101.78</v>
      </c>
      <c r="N381" s="2">
        <v>38500.626863425925</v>
      </c>
      <c r="O381" s="12"/>
      <c r="AC381" s="11" t="s">
        <v>2010</v>
      </c>
      <c r="AD381" s="11" t="s">
        <v>1472</v>
      </c>
      <c r="AE381" s="11" t="s">
        <v>1537</v>
      </c>
    </row>
    <row r="382" spans="9:31" x14ac:dyDescent="0.25">
      <c r="I382">
        <v>83</v>
      </c>
      <c r="J382" t="s">
        <v>771</v>
      </c>
      <c r="K382" t="s">
        <v>772</v>
      </c>
      <c r="L382">
        <v>25</v>
      </c>
      <c r="M382" s="12">
        <v>101.75</v>
      </c>
      <c r="N382" s="2">
        <v>38498.426828703705</v>
      </c>
      <c r="O382" s="12"/>
      <c r="AC382" s="11" t="s">
        <v>2011</v>
      </c>
      <c r="AD382" s="11" t="s">
        <v>1452</v>
      </c>
      <c r="AE382" s="11" t="s">
        <v>1879</v>
      </c>
    </row>
    <row r="383" spans="9:31" x14ac:dyDescent="0.25">
      <c r="I383">
        <v>156</v>
      </c>
      <c r="J383" t="s">
        <v>779</v>
      </c>
      <c r="K383" t="s">
        <v>780</v>
      </c>
      <c r="L383">
        <v>25</v>
      </c>
      <c r="M383" s="12">
        <v>101.75</v>
      </c>
      <c r="N383" s="2">
        <v>38502.395486111112</v>
      </c>
      <c r="O383" s="12"/>
      <c r="AC383" s="11" t="s">
        <v>2012</v>
      </c>
      <c r="AD383" s="11" t="s">
        <v>1448</v>
      </c>
      <c r="AE383" s="11" t="s">
        <v>1449</v>
      </c>
    </row>
    <row r="384" spans="9:31" x14ac:dyDescent="0.25">
      <c r="I384">
        <v>359</v>
      </c>
      <c r="J384" t="s">
        <v>688</v>
      </c>
      <c r="K384" t="s">
        <v>807</v>
      </c>
      <c r="L384">
        <v>25</v>
      </c>
      <c r="M384" s="12">
        <v>101.75</v>
      </c>
      <c r="N384" s="2">
        <v>38498.806759259256</v>
      </c>
      <c r="O384" s="12"/>
      <c r="AC384" s="11" t="s">
        <v>2013</v>
      </c>
      <c r="AD384" s="11" t="s">
        <v>1457</v>
      </c>
      <c r="AE384" s="11" t="s">
        <v>2014</v>
      </c>
    </row>
    <row r="385" spans="9:31" x14ac:dyDescent="0.25">
      <c r="I385">
        <v>219</v>
      </c>
      <c r="J385" t="s">
        <v>688</v>
      </c>
      <c r="K385" t="s">
        <v>689</v>
      </c>
      <c r="L385">
        <v>26</v>
      </c>
      <c r="M385" s="12">
        <v>101.74</v>
      </c>
      <c r="N385" s="2">
        <v>38499.616898148146</v>
      </c>
      <c r="O385" s="12"/>
      <c r="AC385" s="11" t="s">
        <v>2015</v>
      </c>
      <c r="AD385" s="11" t="s">
        <v>1433</v>
      </c>
      <c r="AE385" s="11" t="s">
        <v>1556</v>
      </c>
    </row>
    <row r="386" spans="9:31" x14ac:dyDescent="0.25">
      <c r="I386">
        <v>298</v>
      </c>
      <c r="J386" t="s">
        <v>706</v>
      </c>
      <c r="K386" t="s">
        <v>707</v>
      </c>
      <c r="L386">
        <v>26</v>
      </c>
      <c r="M386" s="12">
        <v>101.74</v>
      </c>
      <c r="N386" s="2">
        <v>38499.42523148148</v>
      </c>
      <c r="O386" s="12"/>
      <c r="AC386" s="11" t="s">
        <v>2016</v>
      </c>
      <c r="AD386" s="11" t="s">
        <v>1398</v>
      </c>
      <c r="AE386" s="11" t="s">
        <v>1795</v>
      </c>
    </row>
    <row r="387" spans="9:31" x14ac:dyDescent="0.25">
      <c r="I387">
        <v>385</v>
      </c>
      <c r="J387" t="s">
        <v>719</v>
      </c>
      <c r="K387" t="s">
        <v>720</v>
      </c>
      <c r="L387">
        <v>26</v>
      </c>
      <c r="M387" s="12">
        <v>101.74</v>
      </c>
      <c r="N387" s="2">
        <v>38502.477152777778</v>
      </c>
      <c r="O387" s="12"/>
      <c r="AC387" s="11" t="s">
        <v>2017</v>
      </c>
      <c r="AD387" s="11" t="s">
        <v>1452</v>
      </c>
      <c r="AE387" s="11" t="s">
        <v>1763</v>
      </c>
    </row>
    <row r="388" spans="9:31" x14ac:dyDescent="0.25">
      <c r="I388">
        <v>387</v>
      </c>
      <c r="J388" t="s">
        <v>721</v>
      </c>
      <c r="K388" t="s">
        <v>722</v>
      </c>
      <c r="L388">
        <v>26</v>
      </c>
      <c r="M388" s="12">
        <v>101.74</v>
      </c>
      <c r="N388" s="2">
        <v>38498.884560185186</v>
      </c>
      <c r="O388" s="12"/>
      <c r="AC388" s="11" t="s">
        <v>2018</v>
      </c>
      <c r="AD388" s="11" t="s">
        <v>1429</v>
      </c>
      <c r="AE388" s="11" t="s">
        <v>2019</v>
      </c>
    </row>
    <row r="389" spans="9:31" x14ac:dyDescent="0.25">
      <c r="I389">
        <v>509</v>
      </c>
      <c r="J389" t="s">
        <v>1140</v>
      </c>
      <c r="K389" t="s">
        <v>1141</v>
      </c>
      <c r="L389">
        <v>20</v>
      </c>
      <c r="M389" s="12">
        <v>100.8</v>
      </c>
      <c r="N389" s="2">
        <v>38497.09679398148</v>
      </c>
      <c r="O389" s="12"/>
      <c r="AC389" s="11" t="s">
        <v>2020</v>
      </c>
      <c r="AD389" s="11" t="s">
        <v>1443</v>
      </c>
      <c r="AE389" s="11" t="s">
        <v>1732</v>
      </c>
    </row>
    <row r="390" spans="9:31" x14ac:dyDescent="0.25">
      <c r="I390">
        <v>55</v>
      </c>
      <c r="J390" t="s">
        <v>1015</v>
      </c>
      <c r="K390" t="s">
        <v>1016</v>
      </c>
      <c r="L390">
        <v>22</v>
      </c>
      <c r="M390" s="12">
        <v>100.78</v>
      </c>
      <c r="N390" s="2">
        <v>38500.355023148149</v>
      </c>
      <c r="O390" s="12"/>
      <c r="AC390" s="11" t="s">
        <v>2021</v>
      </c>
      <c r="AD390" s="11" t="s">
        <v>1429</v>
      </c>
      <c r="AE390" s="11" t="s">
        <v>1832</v>
      </c>
    </row>
    <row r="391" spans="9:31" x14ac:dyDescent="0.25">
      <c r="I391">
        <v>106</v>
      </c>
      <c r="J391" t="s">
        <v>933</v>
      </c>
      <c r="K391" t="s">
        <v>842</v>
      </c>
      <c r="L391">
        <v>23</v>
      </c>
      <c r="M391" s="12">
        <v>100.77</v>
      </c>
      <c r="N391" s="2">
        <v>38500.328912037039</v>
      </c>
      <c r="O391" s="12"/>
      <c r="AC391" s="11" t="s">
        <v>2022</v>
      </c>
      <c r="AD391" s="11" t="s">
        <v>1433</v>
      </c>
      <c r="AE391" s="11" t="s">
        <v>2023</v>
      </c>
    </row>
    <row r="392" spans="9:31" x14ac:dyDescent="0.25">
      <c r="I392">
        <v>123</v>
      </c>
      <c r="J392" t="s">
        <v>871</v>
      </c>
      <c r="K392" t="s">
        <v>872</v>
      </c>
      <c r="L392">
        <v>24</v>
      </c>
      <c r="M392" s="12">
        <v>100.76</v>
      </c>
      <c r="N392" s="2">
        <v>38502.991620370369</v>
      </c>
      <c r="O392" s="12"/>
      <c r="AC392" s="11" t="s">
        <v>2024</v>
      </c>
      <c r="AD392" s="11" t="s">
        <v>1435</v>
      </c>
      <c r="AE392" s="11" t="s">
        <v>2025</v>
      </c>
    </row>
    <row r="393" spans="9:31" x14ac:dyDescent="0.25">
      <c r="I393">
        <v>456</v>
      </c>
      <c r="J393" t="s">
        <v>822</v>
      </c>
      <c r="K393" t="s">
        <v>823</v>
      </c>
      <c r="L393">
        <v>25</v>
      </c>
      <c r="M393" s="12">
        <v>100.75</v>
      </c>
      <c r="N393" s="2">
        <v>38497.053749999999</v>
      </c>
      <c r="O393" s="12"/>
      <c r="AC393" s="11" t="s">
        <v>2026</v>
      </c>
      <c r="AD393" s="11" t="s">
        <v>1443</v>
      </c>
      <c r="AE393" s="11" t="s">
        <v>1460</v>
      </c>
    </row>
    <row r="394" spans="9:31" x14ac:dyDescent="0.25">
      <c r="I394">
        <v>303</v>
      </c>
      <c r="J394" t="s">
        <v>708</v>
      </c>
      <c r="K394" t="s">
        <v>709</v>
      </c>
      <c r="L394">
        <v>26</v>
      </c>
      <c r="M394" s="12">
        <v>100.74</v>
      </c>
      <c r="N394" s="2">
        <v>38498.671967592592</v>
      </c>
      <c r="O394" s="12"/>
      <c r="AC394" s="11" t="s">
        <v>2027</v>
      </c>
      <c r="AD394" s="11" t="s">
        <v>1426</v>
      </c>
      <c r="AE394" s="11" t="s">
        <v>1561</v>
      </c>
    </row>
    <row r="395" spans="9:31" x14ac:dyDescent="0.25">
      <c r="I395">
        <v>474</v>
      </c>
      <c r="J395" t="s">
        <v>737</v>
      </c>
      <c r="K395" t="s">
        <v>738</v>
      </c>
      <c r="L395">
        <v>26</v>
      </c>
      <c r="M395" s="12">
        <v>100.74</v>
      </c>
      <c r="N395" s="2">
        <v>38501.851840277777</v>
      </c>
      <c r="O395" s="12"/>
      <c r="AC395" s="11" t="s">
        <v>2028</v>
      </c>
      <c r="AD395" s="11" t="s">
        <v>1446</v>
      </c>
      <c r="AE395" s="11" t="s">
        <v>1447</v>
      </c>
    </row>
    <row r="396" spans="9:31" x14ac:dyDescent="0.25">
      <c r="I396">
        <v>77</v>
      </c>
      <c r="J396" t="s">
        <v>514</v>
      </c>
      <c r="K396" t="s">
        <v>515</v>
      </c>
      <c r="L396">
        <v>28</v>
      </c>
      <c r="M396" s="12">
        <v>100.72</v>
      </c>
      <c r="N396" s="2">
        <v>38498.99459490741</v>
      </c>
      <c r="O396" s="12"/>
      <c r="AC396" s="11" t="s">
        <v>2029</v>
      </c>
      <c r="AD396" s="11" t="s">
        <v>1433</v>
      </c>
      <c r="AE396" s="11" t="s">
        <v>2030</v>
      </c>
    </row>
    <row r="397" spans="9:31" x14ac:dyDescent="0.25">
      <c r="I397">
        <v>361</v>
      </c>
      <c r="J397" t="s">
        <v>333</v>
      </c>
      <c r="K397" t="s">
        <v>334</v>
      </c>
      <c r="L397">
        <v>31</v>
      </c>
      <c r="M397" s="12">
        <v>100.69</v>
      </c>
      <c r="N397" s="2">
        <v>38499.321168981478</v>
      </c>
      <c r="O397" s="12"/>
      <c r="AC397" s="11" t="s">
        <v>2031</v>
      </c>
      <c r="AD397" s="11" t="s">
        <v>1429</v>
      </c>
      <c r="AE397" s="11" t="s">
        <v>1554</v>
      </c>
    </row>
    <row r="398" spans="9:31" x14ac:dyDescent="0.25">
      <c r="I398">
        <v>64</v>
      </c>
      <c r="J398" t="s">
        <v>201</v>
      </c>
      <c r="K398" t="s">
        <v>202</v>
      </c>
      <c r="L398">
        <v>33</v>
      </c>
      <c r="M398" s="12">
        <v>100.67</v>
      </c>
      <c r="N398" s="2">
        <v>38500.027442129627</v>
      </c>
      <c r="O398" s="12"/>
      <c r="AC398" s="11" t="s">
        <v>2032</v>
      </c>
      <c r="AD398" s="11" t="s">
        <v>1453</v>
      </c>
      <c r="AE398" s="11" t="s">
        <v>1696</v>
      </c>
    </row>
    <row r="399" spans="9:31" x14ac:dyDescent="0.25">
      <c r="I399">
        <v>449</v>
      </c>
      <c r="J399" t="s">
        <v>1138</v>
      </c>
      <c r="K399" t="s">
        <v>1139</v>
      </c>
      <c r="L399">
        <v>20</v>
      </c>
      <c r="M399" s="12">
        <v>99.8</v>
      </c>
      <c r="N399" s="2">
        <v>38498.658101851855</v>
      </c>
      <c r="O399" s="12"/>
      <c r="AC399" s="11" t="s">
        <v>2033</v>
      </c>
      <c r="AD399" s="11" t="s">
        <v>1418</v>
      </c>
      <c r="AE399" s="11" t="s">
        <v>2034</v>
      </c>
    </row>
    <row r="400" spans="9:31" x14ac:dyDescent="0.25">
      <c r="I400">
        <v>489</v>
      </c>
      <c r="J400" t="s">
        <v>1102</v>
      </c>
      <c r="K400" t="s">
        <v>1103</v>
      </c>
      <c r="L400">
        <v>21</v>
      </c>
      <c r="M400" s="12">
        <v>99.79</v>
      </c>
      <c r="N400" s="2">
        <v>38498.403993055559</v>
      </c>
      <c r="O400" s="12"/>
      <c r="AC400" s="11" t="s">
        <v>2035</v>
      </c>
      <c r="AD400" s="11" t="s">
        <v>1395</v>
      </c>
      <c r="AE400" s="11" t="s">
        <v>1651</v>
      </c>
    </row>
    <row r="401" spans="9:31" x14ac:dyDescent="0.25">
      <c r="I401">
        <v>67</v>
      </c>
      <c r="J401" t="s">
        <v>597</v>
      </c>
      <c r="K401" t="s">
        <v>1017</v>
      </c>
      <c r="L401">
        <v>22</v>
      </c>
      <c r="M401" s="12">
        <v>99.78</v>
      </c>
      <c r="N401" s="2">
        <v>38499.098912037036</v>
      </c>
      <c r="O401" s="12"/>
      <c r="AC401" s="11" t="s">
        <v>2036</v>
      </c>
      <c r="AD401" s="11" t="s">
        <v>1455</v>
      </c>
      <c r="AE401" s="11" t="s">
        <v>2037</v>
      </c>
    </row>
    <row r="402" spans="9:31" x14ac:dyDescent="0.25">
      <c r="I402">
        <v>192</v>
      </c>
      <c r="J402" t="s">
        <v>946</v>
      </c>
      <c r="K402" t="s">
        <v>333</v>
      </c>
      <c r="L402">
        <v>23</v>
      </c>
      <c r="M402" s="12">
        <v>99.77</v>
      </c>
      <c r="N402" s="2">
        <v>38502.36855324074</v>
      </c>
      <c r="O402" s="12"/>
      <c r="AC402" s="11" t="s">
        <v>2038</v>
      </c>
      <c r="AD402" s="11" t="s">
        <v>1455</v>
      </c>
      <c r="AE402" s="11" t="s">
        <v>1456</v>
      </c>
    </row>
    <row r="403" spans="9:31" x14ac:dyDescent="0.25">
      <c r="I403">
        <v>352</v>
      </c>
      <c r="J403" t="s">
        <v>972</v>
      </c>
      <c r="K403" t="s">
        <v>973</v>
      </c>
      <c r="L403">
        <v>23</v>
      </c>
      <c r="M403" s="12">
        <v>99.77</v>
      </c>
      <c r="N403" s="2">
        <v>38501.61414351852</v>
      </c>
      <c r="O403" s="12"/>
      <c r="AC403" s="11" t="s">
        <v>2039</v>
      </c>
      <c r="AD403" s="11" t="s">
        <v>1461</v>
      </c>
      <c r="AE403" s="11" t="s">
        <v>1491</v>
      </c>
    </row>
    <row r="404" spans="9:31" x14ac:dyDescent="0.25">
      <c r="I404">
        <v>437</v>
      </c>
      <c r="J404" t="s">
        <v>990</v>
      </c>
      <c r="K404" t="s">
        <v>991</v>
      </c>
      <c r="L404">
        <v>23</v>
      </c>
      <c r="M404" s="12">
        <v>99.77</v>
      </c>
      <c r="N404" s="2">
        <v>38498.264317129629</v>
      </c>
      <c r="O404" s="12"/>
      <c r="AC404" s="11" t="s">
        <v>2040</v>
      </c>
      <c r="AD404" s="11" t="s">
        <v>1466</v>
      </c>
      <c r="AE404" s="11" t="s">
        <v>2041</v>
      </c>
    </row>
    <row r="405" spans="9:31" x14ac:dyDescent="0.25">
      <c r="I405">
        <v>547</v>
      </c>
      <c r="J405" t="s">
        <v>1004</v>
      </c>
      <c r="K405" t="s">
        <v>1005</v>
      </c>
      <c r="L405">
        <v>23</v>
      </c>
      <c r="M405" s="12">
        <v>99.77</v>
      </c>
      <c r="N405" s="2">
        <v>38498.897187499999</v>
      </c>
      <c r="O405" s="12"/>
      <c r="AC405" s="11" t="s">
        <v>2042</v>
      </c>
      <c r="AD405" s="11" t="s">
        <v>1472</v>
      </c>
      <c r="AE405" s="11" t="s">
        <v>2043</v>
      </c>
    </row>
    <row r="406" spans="9:31" x14ac:dyDescent="0.25">
      <c r="I406">
        <v>43</v>
      </c>
      <c r="J406" t="s">
        <v>859</v>
      </c>
      <c r="K406" t="s">
        <v>860</v>
      </c>
      <c r="L406">
        <v>24</v>
      </c>
      <c r="M406" s="12">
        <v>99.76</v>
      </c>
      <c r="N406" s="2">
        <v>38497.851875</v>
      </c>
      <c r="O406" s="12"/>
      <c r="AC406" s="11" t="s">
        <v>2044</v>
      </c>
      <c r="AD406" s="11" t="s">
        <v>1459</v>
      </c>
      <c r="AE406" s="11" t="s">
        <v>1857</v>
      </c>
    </row>
    <row r="407" spans="9:31" x14ac:dyDescent="0.25">
      <c r="I407">
        <v>511</v>
      </c>
      <c r="J407" t="s">
        <v>902</v>
      </c>
      <c r="K407" t="s">
        <v>903</v>
      </c>
      <c r="L407">
        <v>24</v>
      </c>
      <c r="M407" s="12">
        <v>99.76</v>
      </c>
      <c r="N407" s="2">
        <v>38497.352905092594</v>
      </c>
      <c r="O407" s="12"/>
      <c r="AC407" s="11" t="s">
        <v>2045</v>
      </c>
      <c r="AD407" s="11" t="s">
        <v>1470</v>
      </c>
      <c r="AE407" s="11" t="s">
        <v>1851</v>
      </c>
    </row>
    <row r="408" spans="9:31" x14ac:dyDescent="0.25">
      <c r="I408">
        <v>10</v>
      </c>
      <c r="J408" t="s">
        <v>761</v>
      </c>
      <c r="K408" t="s">
        <v>762</v>
      </c>
      <c r="L408">
        <v>25</v>
      </c>
      <c r="M408" s="12">
        <v>99.75</v>
      </c>
      <c r="N408" s="2">
        <v>38503.817013888889</v>
      </c>
      <c r="O408" s="12"/>
      <c r="AC408" s="11" t="s">
        <v>2046</v>
      </c>
      <c r="AD408" s="11" t="s">
        <v>1469</v>
      </c>
      <c r="AE408" s="11" t="s">
        <v>1464</v>
      </c>
    </row>
    <row r="409" spans="9:31" x14ac:dyDescent="0.25">
      <c r="I409">
        <v>597</v>
      </c>
      <c r="J409" t="s">
        <v>850</v>
      </c>
      <c r="K409" t="s">
        <v>851</v>
      </c>
      <c r="L409">
        <v>25</v>
      </c>
      <c r="M409" s="12">
        <v>99.75</v>
      </c>
      <c r="N409" s="2">
        <v>38497.180185185185</v>
      </c>
      <c r="O409" s="12"/>
      <c r="AC409" s="11" t="s">
        <v>2047</v>
      </c>
      <c r="AD409" s="11" t="s">
        <v>1429</v>
      </c>
      <c r="AE409" s="11" t="s">
        <v>1549</v>
      </c>
    </row>
    <row r="410" spans="9:31" x14ac:dyDescent="0.25">
      <c r="I410">
        <v>570</v>
      </c>
      <c r="J410" t="s">
        <v>755</v>
      </c>
      <c r="K410" t="s">
        <v>756</v>
      </c>
      <c r="L410">
        <v>26</v>
      </c>
      <c r="M410" s="12">
        <v>99.74</v>
      </c>
      <c r="N410" s="2">
        <v>38503.348414351851</v>
      </c>
      <c r="O410" s="12"/>
      <c r="AC410" s="11" t="s">
        <v>2048</v>
      </c>
      <c r="AD410" s="11" t="s">
        <v>1474</v>
      </c>
      <c r="AE410" s="11" t="s">
        <v>1649</v>
      </c>
    </row>
    <row r="411" spans="9:31" x14ac:dyDescent="0.25">
      <c r="I411">
        <v>580</v>
      </c>
      <c r="J411" t="s">
        <v>361</v>
      </c>
      <c r="K411" t="s">
        <v>651</v>
      </c>
      <c r="L411">
        <v>27</v>
      </c>
      <c r="M411" s="12">
        <v>99.73</v>
      </c>
      <c r="N411" s="2">
        <v>38500.637708333335</v>
      </c>
      <c r="O411" s="12"/>
      <c r="AC411" s="11" t="s">
        <v>2049</v>
      </c>
      <c r="AD411" s="11" t="s">
        <v>1466</v>
      </c>
      <c r="AE411" s="11" t="s">
        <v>1482</v>
      </c>
    </row>
    <row r="412" spans="9:31" x14ac:dyDescent="0.25">
      <c r="I412">
        <v>72</v>
      </c>
      <c r="J412" t="s">
        <v>358</v>
      </c>
      <c r="K412" t="s">
        <v>359</v>
      </c>
      <c r="L412">
        <v>30</v>
      </c>
      <c r="M412" s="12">
        <v>99.7</v>
      </c>
      <c r="N412" s="2">
        <v>38501.631030092591</v>
      </c>
      <c r="O412" s="12"/>
      <c r="AC412" s="11" t="s">
        <v>2050</v>
      </c>
      <c r="AD412" s="11" t="s">
        <v>1457</v>
      </c>
      <c r="AE412" s="11" t="s">
        <v>2051</v>
      </c>
    </row>
    <row r="413" spans="9:31" x14ac:dyDescent="0.25">
      <c r="I413">
        <v>272</v>
      </c>
      <c r="J413" t="s">
        <v>1127</v>
      </c>
      <c r="K413" t="s">
        <v>1128</v>
      </c>
      <c r="L413">
        <v>20</v>
      </c>
      <c r="M413" s="12">
        <v>98.8</v>
      </c>
      <c r="N413" s="2">
        <v>38497.179756944446</v>
      </c>
      <c r="O413" s="12"/>
      <c r="AC413" s="11" t="s">
        <v>2052</v>
      </c>
      <c r="AD413" s="11" t="s">
        <v>1435</v>
      </c>
      <c r="AE413" s="11" t="s">
        <v>2053</v>
      </c>
    </row>
    <row r="414" spans="9:31" x14ac:dyDescent="0.25">
      <c r="I414">
        <v>17</v>
      </c>
      <c r="J414" t="s">
        <v>1066</v>
      </c>
      <c r="K414" t="s">
        <v>1067</v>
      </c>
      <c r="L414">
        <v>21</v>
      </c>
      <c r="M414" s="12">
        <v>98.79</v>
      </c>
      <c r="N414" s="2">
        <v>38498.822847222225</v>
      </c>
      <c r="O414" s="12"/>
      <c r="AC414" s="11" t="s">
        <v>2054</v>
      </c>
      <c r="AD414" s="11" t="s">
        <v>1423</v>
      </c>
      <c r="AE414" s="11" t="s">
        <v>1592</v>
      </c>
    </row>
    <row r="415" spans="9:31" x14ac:dyDescent="0.25">
      <c r="I415">
        <v>443</v>
      </c>
      <c r="J415" t="s">
        <v>987</v>
      </c>
      <c r="K415" t="s">
        <v>1044</v>
      </c>
      <c r="L415">
        <v>22</v>
      </c>
      <c r="M415" s="12">
        <v>98.78</v>
      </c>
      <c r="N415" s="2">
        <v>38503.39739583333</v>
      </c>
      <c r="O415" s="12"/>
      <c r="AC415" s="11" t="s">
        <v>2055</v>
      </c>
      <c r="AD415" s="11" t="s">
        <v>1410</v>
      </c>
      <c r="AE415" s="11" t="s">
        <v>2056</v>
      </c>
    </row>
    <row r="416" spans="9:31" x14ac:dyDescent="0.25">
      <c r="I416">
        <v>544</v>
      </c>
      <c r="J416" t="s">
        <v>1059</v>
      </c>
      <c r="K416" t="s">
        <v>1060</v>
      </c>
      <c r="L416">
        <v>22</v>
      </c>
      <c r="M416" s="12">
        <v>98.78</v>
      </c>
      <c r="N416" s="2">
        <v>38499.520162037035</v>
      </c>
      <c r="O416" s="12"/>
      <c r="AC416" s="11" t="s">
        <v>2057</v>
      </c>
      <c r="AD416" s="11" t="s">
        <v>1459</v>
      </c>
      <c r="AE416" s="11" t="s">
        <v>1485</v>
      </c>
    </row>
    <row r="417" spans="9:31" x14ac:dyDescent="0.25">
      <c r="I417">
        <v>180</v>
      </c>
      <c r="J417" t="s">
        <v>938</v>
      </c>
      <c r="K417" t="s">
        <v>939</v>
      </c>
      <c r="L417">
        <v>23</v>
      </c>
      <c r="M417" s="12">
        <v>98.77</v>
      </c>
      <c r="N417" s="2">
        <v>38503.694131944445</v>
      </c>
      <c r="O417" s="12"/>
      <c r="AC417" s="11" t="s">
        <v>2058</v>
      </c>
      <c r="AD417" s="11" t="s">
        <v>1474</v>
      </c>
      <c r="AE417" s="11" t="s">
        <v>1495</v>
      </c>
    </row>
    <row r="418" spans="9:31" x14ac:dyDescent="0.25">
      <c r="I418">
        <v>217</v>
      </c>
      <c r="J418" t="s">
        <v>949</v>
      </c>
      <c r="K418" t="s">
        <v>950</v>
      </c>
      <c r="L418">
        <v>23</v>
      </c>
      <c r="M418" s="12">
        <v>98.77</v>
      </c>
      <c r="N418" s="2">
        <v>38501.927025462966</v>
      </c>
      <c r="O418" s="12"/>
      <c r="AC418" s="11" t="s">
        <v>2059</v>
      </c>
      <c r="AD418" s="11" t="s">
        <v>1426</v>
      </c>
      <c r="AE418" s="11" t="s">
        <v>2056</v>
      </c>
    </row>
    <row r="419" spans="9:31" x14ac:dyDescent="0.25">
      <c r="I419">
        <v>175</v>
      </c>
      <c r="J419" t="s">
        <v>879</v>
      </c>
      <c r="K419" t="s">
        <v>880</v>
      </c>
      <c r="L419">
        <v>24</v>
      </c>
      <c r="M419" s="12">
        <v>98.76</v>
      </c>
      <c r="N419" s="2">
        <v>38518.912858796299</v>
      </c>
      <c r="O419" s="12"/>
      <c r="AC419" s="11" t="s">
        <v>2060</v>
      </c>
      <c r="AD419" s="11" t="s">
        <v>1455</v>
      </c>
      <c r="AE419" s="11" t="s">
        <v>1635</v>
      </c>
    </row>
    <row r="420" spans="9:31" x14ac:dyDescent="0.25">
      <c r="I420">
        <v>60</v>
      </c>
      <c r="J420" t="s">
        <v>765</v>
      </c>
      <c r="K420" t="s">
        <v>766</v>
      </c>
      <c r="L420">
        <v>25</v>
      </c>
      <c r="M420" s="12">
        <v>98.75</v>
      </c>
      <c r="N420" s="2">
        <v>38498.984479166669</v>
      </c>
      <c r="O420" s="12"/>
      <c r="AC420" s="11" t="s">
        <v>2061</v>
      </c>
      <c r="AD420" s="11" t="s">
        <v>1433</v>
      </c>
      <c r="AE420" s="11" t="s">
        <v>1685</v>
      </c>
    </row>
    <row r="421" spans="9:31" x14ac:dyDescent="0.25">
      <c r="I421">
        <v>264</v>
      </c>
      <c r="J421" t="s">
        <v>795</v>
      </c>
      <c r="K421" t="s">
        <v>796</v>
      </c>
      <c r="L421">
        <v>25</v>
      </c>
      <c r="M421" s="12">
        <v>98.75</v>
      </c>
      <c r="N421" s="2">
        <v>38517.969756944447</v>
      </c>
      <c r="O421" s="12"/>
      <c r="AC421" s="11" t="s">
        <v>2062</v>
      </c>
      <c r="AD421" s="11" t="s">
        <v>1466</v>
      </c>
      <c r="AE421" s="11" t="s">
        <v>1488</v>
      </c>
    </row>
    <row r="422" spans="9:31" x14ac:dyDescent="0.25">
      <c r="I422">
        <v>516</v>
      </c>
      <c r="J422" t="s">
        <v>749</v>
      </c>
      <c r="K422" t="s">
        <v>750</v>
      </c>
      <c r="L422">
        <v>26</v>
      </c>
      <c r="M422" s="12">
        <v>98.74</v>
      </c>
      <c r="N422" s="2">
        <v>38499.157847222225</v>
      </c>
      <c r="O422" s="12"/>
      <c r="AC422" s="11" t="s">
        <v>2063</v>
      </c>
      <c r="AD422" s="11" t="s">
        <v>1450</v>
      </c>
      <c r="AE422" s="11" t="s">
        <v>1491</v>
      </c>
    </row>
    <row r="423" spans="9:31" x14ac:dyDescent="0.25">
      <c r="I423">
        <v>133</v>
      </c>
      <c r="J423" t="s">
        <v>601</v>
      </c>
      <c r="K423" t="s">
        <v>602</v>
      </c>
      <c r="L423">
        <v>27</v>
      </c>
      <c r="M423" s="12">
        <v>98.73</v>
      </c>
      <c r="N423" s="2">
        <v>38498.715196759258</v>
      </c>
      <c r="O423" s="12"/>
      <c r="AC423" s="11" t="s">
        <v>2064</v>
      </c>
      <c r="AD423" s="11" t="s">
        <v>1455</v>
      </c>
      <c r="AE423" s="11" t="s">
        <v>1579</v>
      </c>
    </row>
    <row r="424" spans="9:31" x14ac:dyDescent="0.25">
      <c r="I424">
        <v>310</v>
      </c>
      <c r="J424" t="s">
        <v>1129</v>
      </c>
      <c r="K424" t="s">
        <v>1130</v>
      </c>
      <c r="L424">
        <v>20</v>
      </c>
      <c r="M424" s="12">
        <v>97.8</v>
      </c>
      <c r="N424" s="2">
        <v>38497.740659722222</v>
      </c>
      <c r="O424" s="12"/>
      <c r="AC424" s="11" t="s">
        <v>2065</v>
      </c>
      <c r="AD424" s="11" t="s">
        <v>1423</v>
      </c>
      <c r="AE424" s="11" t="s">
        <v>1540</v>
      </c>
    </row>
    <row r="425" spans="9:31" x14ac:dyDescent="0.25">
      <c r="I425">
        <v>505</v>
      </c>
      <c r="J425" t="s">
        <v>1108</v>
      </c>
      <c r="K425" t="s">
        <v>1109</v>
      </c>
      <c r="L425">
        <v>21</v>
      </c>
      <c r="M425" s="12">
        <v>97.79</v>
      </c>
      <c r="N425" s="2">
        <v>38498.065601851849</v>
      </c>
      <c r="O425" s="12"/>
      <c r="AC425" s="11" t="s">
        <v>2066</v>
      </c>
      <c r="AD425" s="11" t="s">
        <v>1429</v>
      </c>
      <c r="AE425" s="11" t="s">
        <v>2067</v>
      </c>
    </row>
    <row r="426" spans="9:31" x14ac:dyDescent="0.25">
      <c r="I426">
        <v>73</v>
      </c>
      <c r="J426" t="s">
        <v>861</v>
      </c>
      <c r="K426" t="s">
        <v>862</v>
      </c>
      <c r="L426">
        <v>24</v>
      </c>
      <c r="M426" s="12">
        <v>97.76</v>
      </c>
      <c r="N426" s="2">
        <v>38497.427349537036</v>
      </c>
      <c r="O426" s="12"/>
      <c r="AC426" s="11" t="s">
        <v>2068</v>
      </c>
      <c r="AD426" s="11" t="s">
        <v>1413</v>
      </c>
      <c r="AE426" s="11" t="s">
        <v>2069</v>
      </c>
    </row>
    <row r="427" spans="9:31" x14ac:dyDescent="0.25">
      <c r="I427">
        <v>111</v>
      </c>
      <c r="J427" t="s">
        <v>670</v>
      </c>
      <c r="K427" t="s">
        <v>671</v>
      </c>
      <c r="L427">
        <v>26</v>
      </c>
      <c r="M427" s="12">
        <v>97.74</v>
      </c>
      <c r="N427" s="2">
        <v>38500.08792824074</v>
      </c>
      <c r="O427" s="12"/>
      <c r="AC427" s="11" t="s">
        <v>2070</v>
      </c>
      <c r="AD427" s="11" t="s">
        <v>1455</v>
      </c>
      <c r="AE427" s="11" t="s">
        <v>2071</v>
      </c>
    </row>
    <row r="428" spans="9:31" x14ac:dyDescent="0.25">
      <c r="I428">
        <v>182</v>
      </c>
      <c r="J428" t="s">
        <v>681</v>
      </c>
      <c r="K428" t="s">
        <v>682</v>
      </c>
      <c r="L428">
        <v>26</v>
      </c>
      <c r="M428" s="12">
        <v>97.74</v>
      </c>
      <c r="N428" s="2">
        <v>38498.077638888892</v>
      </c>
      <c r="O428" s="12"/>
      <c r="AC428" s="11" t="s">
        <v>2072</v>
      </c>
      <c r="AD428" s="11" t="s">
        <v>1423</v>
      </c>
      <c r="AE428" s="11" t="s">
        <v>2073</v>
      </c>
    </row>
    <row r="429" spans="9:31" x14ac:dyDescent="0.25">
      <c r="I429">
        <v>422</v>
      </c>
      <c r="J429" t="s">
        <v>727</v>
      </c>
      <c r="K429" t="s">
        <v>728</v>
      </c>
      <c r="L429">
        <v>26</v>
      </c>
      <c r="M429" s="12">
        <v>97.74</v>
      </c>
      <c r="N429" s="2">
        <v>38499.530590277776</v>
      </c>
      <c r="O429" s="12"/>
      <c r="AC429" s="11" t="s">
        <v>2074</v>
      </c>
      <c r="AD429" s="11" t="s">
        <v>1472</v>
      </c>
      <c r="AE429" s="11" t="s">
        <v>2075</v>
      </c>
    </row>
    <row r="430" spans="9:31" x14ac:dyDescent="0.25">
      <c r="I430">
        <v>498</v>
      </c>
      <c r="J430" t="s">
        <v>643</v>
      </c>
      <c r="K430" t="s">
        <v>644</v>
      </c>
      <c r="L430">
        <v>27</v>
      </c>
      <c r="M430" s="12">
        <v>97.73</v>
      </c>
      <c r="N430" s="2">
        <v>38497.277488425927</v>
      </c>
      <c r="O430" s="12"/>
      <c r="AC430" s="11" t="s">
        <v>2076</v>
      </c>
      <c r="AD430" s="11" t="s">
        <v>1466</v>
      </c>
      <c r="AE430" s="11" t="s">
        <v>2077</v>
      </c>
    </row>
    <row r="431" spans="9:31" x14ac:dyDescent="0.25">
      <c r="I431">
        <v>461</v>
      </c>
      <c r="J431" t="s">
        <v>564</v>
      </c>
      <c r="K431" t="s">
        <v>565</v>
      </c>
      <c r="L431">
        <v>28</v>
      </c>
      <c r="M431" s="12">
        <v>97.72</v>
      </c>
      <c r="N431" s="2">
        <v>38501.009201388886</v>
      </c>
      <c r="O431" s="12"/>
      <c r="AC431" s="11" t="s">
        <v>2078</v>
      </c>
      <c r="AD431" s="11" t="s">
        <v>1398</v>
      </c>
      <c r="AE431" s="11" t="s">
        <v>1879</v>
      </c>
    </row>
    <row r="432" spans="9:31" x14ac:dyDescent="0.25">
      <c r="I432">
        <v>578</v>
      </c>
      <c r="J432" t="s">
        <v>1063</v>
      </c>
      <c r="K432" t="s">
        <v>1064</v>
      </c>
      <c r="L432">
        <v>22</v>
      </c>
      <c r="M432" s="12">
        <v>96.78</v>
      </c>
      <c r="N432" s="2">
        <v>38500.870497685188</v>
      </c>
      <c r="O432" s="12"/>
      <c r="AC432" s="11" t="s">
        <v>2079</v>
      </c>
      <c r="AD432" s="11" t="s">
        <v>1474</v>
      </c>
      <c r="AE432" s="11" t="s">
        <v>1632</v>
      </c>
    </row>
    <row r="433" spans="9:31" x14ac:dyDescent="0.25">
      <c r="I433">
        <v>101</v>
      </c>
      <c r="J433" t="s">
        <v>867</v>
      </c>
      <c r="K433" t="s">
        <v>868</v>
      </c>
      <c r="L433">
        <v>24</v>
      </c>
      <c r="M433" s="12">
        <v>96.76</v>
      </c>
      <c r="N433" s="2">
        <v>38499.884143518517</v>
      </c>
      <c r="O433" s="12"/>
      <c r="AC433" s="11" t="s">
        <v>2080</v>
      </c>
      <c r="AD433" s="11" t="s">
        <v>1455</v>
      </c>
      <c r="AE433" s="11" t="s">
        <v>1547</v>
      </c>
    </row>
    <row r="434" spans="9:31" x14ac:dyDescent="0.25">
      <c r="I434">
        <v>69</v>
      </c>
      <c r="J434" t="s">
        <v>769</v>
      </c>
      <c r="K434" t="s">
        <v>770</v>
      </c>
      <c r="L434">
        <v>25</v>
      </c>
      <c r="M434" s="12">
        <v>96.75</v>
      </c>
      <c r="N434" s="2">
        <v>38500.492361111108</v>
      </c>
      <c r="O434" s="12"/>
      <c r="AC434" s="11" t="s">
        <v>2081</v>
      </c>
      <c r="AD434" s="11" t="s">
        <v>1470</v>
      </c>
      <c r="AE434" s="11" t="s">
        <v>1554</v>
      </c>
    </row>
    <row r="435" spans="9:31" x14ac:dyDescent="0.25">
      <c r="I435">
        <v>326</v>
      </c>
      <c r="J435" t="s">
        <v>803</v>
      </c>
      <c r="K435" t="s">
        <v>628</v>
      </c>
      <c r="L435">
        <v>25</v>
      </c>
      <c r="M435" s="12">
        <v>96.75</v>
      </c>
      <c r="N435" s="2">
        <v>38502.235000000001</v>
      </c>
      <c r="O435" s="12"/>
      <c r="AC435" s="11" t="s">
        <v>2082</v>
      </c>
      <c r="AD435" s="11" t="s">
        <v>1459</v>
      </c>
      <c r="AE435" s="11" t="s">
        <v>1825</v>
      </c>
    </row>
    <row r="436" spans="9:31" x14ac:dyDescent="0.25">
      <c r="I436">
        <v>551</v>
      </c>
      <c r="J436" t="s">
        <v>753</v>
      </c>
      <c r="K436" t="s">
        <v>754</v>
      </c>
      <c r="L436">
        <v>26</v>
      </c>
      <c r="M436" s="12">
        <v>96.74</v>
      </c>
      <c r="N436" s="2">
        <v>38498.052141203705</v>
      </c>
      <c r="O436" s="12"/>
      <c r="AC436" s="11" t="s">
        <v>2083</v>
      </c>
      <c r="AD436" s="11" t="s">
        <v>1470</v>
      </c>
      <c r="AE436" s="11" t="s">
        <v>2084</v>
      </c>
    </row>
    <row r="437" spans="9:31" x14ac:dyDescent="0.25">
      <c r="I437">
        <v>561</v>
      </c>
      <c r="J437" t="s">
        <v>645</v>
      </c>
      <c r="K437" t="s">
        <v>646</v>
      </c>
      <c r="L437">
        <v>27</v>
      </c>
      <c r="M437" s="12">
        <v>96.73</v>
      </c>
      <c r="N437" s="2">
        <v>38502.412222222221</v>
      </c>
      <c r="O437" s="12"/>
      <c r="AC437" s="11" t="s">
        <v>2085</v>
      </c>
      <c r="AD437" s="11" t="s">
        <v>1435</v>
      </c>
      <c r="AE437" s="11" t="s">
        <v>1763</v>
      </c>
    </row>
    <row r="438" spans="9:31" x14ac:dyDescent="0.25">
      <c r="I438">
        <v>596</v>
      </c>
      <c r="J438" t="s">
        <v>580</v>
      </c>
      <c r="K438" t="s">
        <v>581</v>
      </c>
      <c r="L438">
        <v>28</v>
      </c>
      <c r="M438" s="12">
        <v>96.72</v>
      </c>
      <c r="N438" s="2">
        <v>38498.886712962965</v>
      </c>
      <c r="O438" s="12"/>
      <c r="AC438" s="11" t="s">
        <v>2086</v>
      </c>
      <c r="AD438" s="11" t="s">
        <v>1474</v>
      </c>
      <c r="AE438" s="11" t="s">
        <v>1678</v>
      </c>
    </row>
    <row r="439" spans="9:31" x14ac:dyDescent="0.25">
      <c r="I439">
        <v>169</v>
      </c>
      <c r="J439" t="s">
        <v>1024</v>
      </c>
      <c r="K439" t="s">
        <v>1025</v>
      </c>
      <c r="L439">
        <v>22</v>
      </c>
      <c r="M439" s="12">
        <v>95.78</v>
      </c>
      <c r="N439" s="2">
        <v>38500.186550925922</v>
      </c>
      <c r="O439" s="12"/>
      <c r="AC439" s="11" t="s">
        <v>2087</v>
      </c>
      <c r="AD439" s="11" t="s">
        <v>1469</v>
      </c>
      <c r="AE439" s="11" t="s">
        <v>2088</v>
      </c>
    </row>
    <row r="440" spans="9:31" x14ac:dyDescent="0.25">
      <c r="I440">
        <v>476</v>
      </c>
      <c r="J440" t="s">
        <v>1045</v>
      </c>
      <c r="K440" t="s">
        <v>1046</v>
      </c>
      <c r="L440">
        <v>22</v>
      </c>
      <c r="M440" s="12">
        <v>95.78</v>
      </c>
      <c r="N440" s="2">
        <v>38500.006388888891</v>
      </c>
      <c r="O440" s="12"/>
      <c r="AC440" s="11" t="s">
        <v>2089</v>
      </c>
      <c r="AD440" s="11" t="s">
        <v>1450</v>
      </c>
      <c r="AE440" s="11" t="s">
        <v>1770</v>
      </c>
    </row>
    <row r="441" spans="9:31" x14ac:dyDescent="0.25">
      <c r="I441">
        <v>488</v>
      </c>
      <c r="J441" t="s">
        <v>1051</v>
      </c>
      <c r="K441" t="s">
        <v>1052</v>
      </c>
      <c r="L441">
        <v>22</v>
      </c>
      <c r="M441" s="12">
        <v>95.78</v>
      </c>
      <c r="N441" s="2">
        <v>38519.410868055558</v>
      </c>
      <c r="O441" s="12"/>
      <c r="AC441" s="11" t="s">
        <v>2090</v>
      </c>
      <c r="AD441" s="11" t="s">
        <v>1413</v>
      </c>
      <c r="AE441" s="11" t="s">
        <v>2091</v>
      </c>
    </row>
    <row r="442" spans="9:31" x14ac:dyDescent="0.25">
      <c r="I442">
        <v>37</v>
      </c>
      <c r="J442" t="s">
        <v>923</v>
      </c>
      <c r="K442" t="s">
        <v>924</v>
      </c>
      <c r="L442">
        <v>23</v>
      </c>
      <c r="M442" s="12">
        <v>95.77</v>
      </c>
      <c r="N442" s="2">
        <v>38497.139814814815</v>
      </c>
      <c r="O442" s="12"/>
      <c r="AC442" s="11" t="s">
        <v>2092</v>
      </c>
      <c r="AD442" s="11" t="s">
        <v>1435</v>
      </c>
      <c r="AE442" s="11" t="s">
        <v>1678</v>
      </c>
    </row>
    <row r="443" spans="9:31" x14ac:dyDescent="0.25">
      <c r="I443">
        <v>216</v>
      </c>
      <c r="J443" t="s">
        <v>947</v>
      </c>
      <c r="K443" t="s">
        <v>948</v>
      </c>
      <c r="L443">
        <v>23</v>
      </c>
      <c r="M443" s="12">
        <v>95.77</v>
      </c>
      <c r="N443" s="2">
        <v>38503.005844907406</v>
      </c>
      <c r="O443" s="12"/>
      <c r="AC443" s="11" t="s">
        <v>2093</v>
      </c>
      <c r="AD443" s="11" t="s">
        <v>1433</v>
      </c>
      <c r="AE443" s="11" t="s">
        <v>2094</v>
      </c>
    </row>
    <row r="444" spans="9:31" x14ac:dyDescent="0.25">
      <c r="I444">
        <v>291</v>
      </c>
      <c r="J444" t="s">
        <v>957</v>
      </c>
      <c r="K444" t="s">
        <v>958</v>
      </c>
      <c r="L444">
        <v>23</v>
      </c>
      <c r="M444" s="12">
        <v>95.77</v>
      </c>
      <c r="N444" s="2">
        <v>38497.307928240742</v>
      </c>
      <c r="O444" s="12"/>
      <c r="AC444" s="11" t="s">
        <v>2095</v>
      </c>
      <c r="AD444" s="11" t="s">
        <v>1435</v>
      </c>
      <c r="AE444" s="11" t="s">
        <v>2096</v>
      </c>
    </row>
    <row r="445" spans="9:31" x14ac:dyDescent="0.25">
      <c r="I445">
        <v>364</v>
      </c>
      <c r="J445" t="s">
        <v>974</v>
      </c>
      <c r="K445" t="s">
        <v>975</v>
      </c>
      <c r="L445">
        <v>23</v>
      </c>
      <c r="M445" s="12">
        <v>95.77</v>
      </c>
      <c r="N445" s="2">
        <v>38499.840694444443</v>
      </c>
      <c r="O445" s="12"/>
      <c r="AC445" s="11" t="s">
        <v>2097</v>
      </c>
      <c r="AD445" s="11" t="s">
        <v>1472</v>
      </c>
      <c r="AE445" s="11" t="s">
        <v>1722</v>
      </c>
    </row>
    <row r="446" spans="9:31" x14ac:dyDescent="0.25">
      <c r="I446">
        <v>431</v>
      </c>
      <c r="J446" t="s">
        <v>986</v>
      </c>
      <c r="K446" t="s">
        <v>987</v>
      </c>
      <c r="L446">
        <v>23</v>
      </c>
      <c r="M446" s="12">
        <v>95.77</v>
      </c>
      <c r="N446" s="2">
        <v>38503.72760416667</v>
      </c>
      <c r="O446" s="12"/>
      <c r="AC446" s="11" t="s">
        <v>2098</v>
      </c>
      <c r="AD446" s="11" t="s">
        <v>1433</v>
      </c>
      <c r="AE446" s="11" t="s">
        <v>2099</v>
      </c>
    </row>
    <row r="447" spans="9:31" x14ac:dyDescent="0.25">
      <c r="I447">
        <v>24</v>
      </c>
      <c r="J447" t="s">
        <v>763</v>
      </c>
      <c r="K447" t="s">
        <v>635</v>
      </c>
      <c r="L447">
        <v>25</v>
      </c>
      <c r="M447" s="12">
        <v>95.75</v>
      </c>
      <c r="N447" s="2">
        <v>38503.043379629627</v>
      </c>
      <c r="O447" s="12"/>
      <c r="AC447" s="11" t="s">
        <v>2100</v>
      </c>
      <c r="AD447" s="11" t="s">
        <v>1459</v>
      </c>
      <c r="AE447" s="11" t="s">
        <v>1744</v>
      </c>
    </row>
    <row r="448" spans="9:31" x14ac:dyDescent="0.25">
      <c r="I448">
        <v>232</v>
      </c>
      <c r="J448" t="s">
        <v>791</v>
      </c>
      <c r="K448" t="s">
        <v>792</v>
      </c>
      <c r="L448">
        <v>25</v>
      </c>
      <c r="M448" s="12">
        <v>95.75</v>
      </c>
      <c r="N448" s="2">
        <v>38497.154594907406</v>
      </c>
      <c r="O448" s="12"/>
      <c r="AC448" s="11" t="s">
        <v>2101</v>
      </c>
      <c r="AD448" s="11" t="s">
        <v>1433</v>
      </c>
      <c r="AE448" s="11" t="s">
        <v>2102</v>
      </c>
    </row>
    <row r="449" spans="9:31" x14ac:dyDescent="0.25">
      <c r="I449">
        <v>507</v>
      </c>
      <c r="J449" t="s">
        <v>828</v>
      </c>
      <c r="K449" t="s">
        <v>829</v>
      </c>
      <c r="L449">
        <v>25</v>
      </c>
      <c r="M449" s="12">
        <v>95.75</v>
      </c>
      <c r="N449" s="2">
        <v>38497.285752314812</v>
      </c>
      <c r="O449" s="12"/>
      <c r="AC449" s="11" t="s">
        <v>2103</v>
      </c>
      <c r="AD449" s="11" t="s">
        <v>1410</v>
      </c>
      <c r="AE449" s="11" t="s">
        <v>1877</v>
      </c>
    </row>
    <row r="450" spans="9:31" x14ac:dyDescent="0.25">
      <c r="I450">
        <v>132</v>
      </c>
      <c r="J450" t="s">
        <v>522</v>
      </c>
      <c r="K450" t="s">
        <v>523</v>
      </c>
      <c r="L450">
        <v>28</v>
      </c>
      <c r="M450" s="12">
        <v>95.72</v>
      </c>
      <c r="N450" s="2">
        <v>38519.995625000003</v>
      </c>
      <c r="O450" s="12"/>
      <c r="AC450" s="11" t="s">
        <v>2104</v>
      </c>
      <c r="AD450" s="11" t="s">
        <v>1463</v>
      </c>
      <c r="AE450" s="11" t="s">
        <v>1588</v>
      </c>
    </row>
    <row r="451" spans="9:31" x14ac:dyDescent="0.25">
      <c r="I451">
        <v>542</v>
      </c>
      <c r="J451" t="s">
        <v>1191</v>
      </c>
      <c r="K451" t="s">
        <v>1192</v>
      </c>
      <c r="L451">
        <v>18</v>
      </c>
      <c r="M451" s="12">
        <v>94.82</v>
      </c>
      <c r="N451" s="2">
        <v>38498.421400462961</v>
      </c>
      <c r="O451" s="12"/>
      <c r="AC451" s="11" t="s">
        <v>2105</v>
      </c>
      <c r="AD451" s="11" t="s">
        <v>1443</v>
      </c>
      <c r="AE451" s="11" t="s">
        <v>2106</v>
      </c>
    </row>
    <row r="452" spans="9:31" x14ac:dyDescent="0.25">
      <c r="I452">
        <v>238</v>
      </c>
      <c r="J452" t="s">
        <v>1087</v>
      </c>
      <c r="K452" t="s">
        <v>1088</v>
      </c>
      <c r="L452">
        <v>21</v>
      </c>
      <c r="M452" s="12">
        <v>94.79</v>
      </c>
      <c r="N452" s="2">
        <v>38498.967303240737</v>
      </c>
      <c r="O452" s="12"/>
      <c r="AC452" s="11" t="s">
        <v>2107</v>
      </c>
      <c r="AD452" s="11" t="s">
        <v>1413</v>
      </c>
      <c r="AE452" s="11" t="s">
        <v>1700</v>
      </c>
    </row>
    <row r="453" spans="9:31" x14ac:dyDescent="0.25">
      <c r="I453">
        <v>68</v>
      </c>
      <c r="J453" t="s">
        <v>1018</v>
      </c>
      <c r="K453" t="s">
        <v>1019</v>
      </c>
      <c r="L453">
        <v>22</v>
      </c>
      <c r="M453" s="12">
        <v>94.78</v>
      </c>
      <c r="N453" s="2">
        <v>38519.91983796296</v>
      </c>
      <c r="O453" s="12"/>
      <c r="AC453" s="11" t="s">
        <v>2108</v>
      </c>
      <c r="AD453" s="11" t="s">
        <v>1452</v>
      </c>
      <c r="AE453" s="11" t="s">
        <v>1899</v>
      </c>
    </row>
    <row r="454" spans="9:31" x14ac:dyDescent="0.25">
      <c r="I454">
        <v>134</v>
      </c>
      <c r="J454" t="s">
        <v>934</v>
      </c>
      <c r="K454" t="s">
        <v>935</v>
      </c>
      <c r="L454">
        <v>23</v>
      </c>
      <c r="M454" s="12">
        <v>94.77</v>
      </c>
      <c r="N454" s="2">
        <v>38499.315208333333</v>
      </c>
      <c r="O454" s="12"/>
      <c r="AC454" s="11" t="s">
        <v>2109</v>
      </c>
      <c r="AD454" s="11" t="s">
        <v>1435</v>
      </c>
      <c r="AE454" s="11" t="s">
        <v>1451</v>
      </c>
    </row>
    <row r="455" spans="9:31" x14ac:dyDescent="0.25">
      <c r="I455">
        <v>153</v>
      </c>
      <c r="J455" t="s">
        <v>877</v>
      </c>
      <c r="K455" t="s">
        <v>878</v>
      </c>
      <c r="L455">
        <v>24</v>
      </c>
      <c r="M455" s="12">
        <v>94.76</v>
      </c>
      <c r="N455" s="2">
        <v>38521.148587962962</v>
      </c>
      <c r="O455" s="12"/>
      <c r="AC455" s="11" t="s">
        <v>2110</v>
      </c>
      <c r="AD455" s="11" t="s">
        <v>1435</v>
      </c>
      <c r="AE455" s="11" t="s">
        <v>1473</v>
      </c>
    </row>
    <row r="456" spans="9:31" x14ac:dyDescent="0.25">
      <c r="I456">
        <v>330</v>
      </c>
      <c r="J456" t="s">
        <v>804</v>
      </c>
      <c r="K456" t="s">
        <v>805</v>
      </c>
      <c r="L456">
        <v>25</v>
      </c>
      <c r="M456" s="12">
        <v>94.75</v>
      </c>
      <c r="N456" s="2">
        <v>38501.114386574074</v>
      </c>
      <c r="O456" s="12"/>
      <c r="AC456" s="11" t="s">
        <v>2111</v>
      </c>
      <c r="AD456" s="11" t="s">
        <v>1452</v>
      </c>
      <c r="AE456" s="11" t="s">
        <v>1958</v>
      </c>
    </row>
    <row r="457" spans="9:31" x14ac:dyDescent="0.25">
      <c r="I457">
        <v>142</v>
      </c>
      <c r="J457" t="s">
        <v>674</v>
      </c>
      <c r="K457" t="s">
        <v>675</v>
      </c>
      <c r="L457">
        <v>26</v>
      </c>
      <c r="M457" s="12">
        <v>94.74</v>
      </c>
      <c r="N457" s="2">
        <v>38497.006273148145</v>
      </c>
      <c r="O457" s="12"/>
      <c r="AC457" s="11" t="s">
        <v>2112</v>
      </c>
      <c r="AD457" s="11" t="s">
        <v>1423</v>
      </c>
      <c r="AE457" s="11" t="s">
        <v>2073</v>
      </c>
    </row>
    <row r="458" spans="9:31" x14ac:dyDescent="0.25">
      <c r="I458">
        <v>81</v>
      </c>
      <c r="J458" t="s">
        <v>1022</v>
      </c>
      <c r="K458" t="s">
        <v>1023</v>
      </c>
      <c r="L458">
        <v>22</v>
      </c>
      <c r="M458" s="12">
        <v>93.78</v>
      </c>
      <c r="N458" s="2">
        <v>38498.834131944444</v>
      </c>
      <c r="O458" s="12"/>
      <c r="AC458" s="11" t="s">
        <v>2113</v>
      </c>
      <c r="AD458" s="11" t="s">
        <v>1461</v>
      </c>
      <c r="AE458" s="11" t="s">
        <v>1668</v>
      </c>
    </row>
    <row r="459" spans="9:31" x14ac:dyDescent="0.25">
      <c r="I459">
        <v>189</v>
      </c>
      <c r="J459" t="s">
        <v>1026</v>
      </c>
      <c r="K459" t="s">
        <v>1027</v>
      </c>
      <c r="L459">
        <v>22</v>
      </c>
      <c r="M459" s="12">
        <v>93.78</v>
      </c>
      <c r="N459" s="2">
        <v>38503.677442129629</v>
      </c>
      <c r="O459" s="12"/>
      <c r="AC459" s="11" t="s">
        <v>2114</v>
      </c>
      <c r="AD459" s="11" t="s">
        <v>1470</v>
      </c>
      <c r="AE459" s="11" t="s">
        <v>2115</v>
      </c>
    </row>
    <row r="460" spans="9:31" x14ac:dyDescent="0.25">
      <c r="I460">
        <v>523</v>
      </c>
      <c r="J460" t="s">
        <v>691</v>
      </c>
      <c r="K460" t="s">
        <v>1054</v>
      </c>
      <c r="L460">
        <v>22</v>
      </c>
      <c r="M460" s="12">
        <v>93.78</v>
      </c>
      <c r="N460" s="2">
        <v>38497.225671296299</v>
      </c>
      <c r="O460" s="12"/>
      <c r="AC460" s="11" t="s">
        <v>2116</v>
      </c>
      <c r="AD460" s="11" t="s">
        <v>1474</v>
      </c>
      <c r="AE460" s="11" t="s">
        <v>1576</v>
      </c>
    </row>
    <row r="461" spans="9:31" x14ac:dyDescent="0.25">
      <c r="I461">
        <v>415</v>
      </c>
      <c r="J461" t="s">
        <v>984</v>
      </c>
      <c r="K461" t="s">
        <v>985</v>
      </c>
      <c r="L461">
        <v>23</v>
      </c>
      <c r="M461" s="12">
        <v>93.77</v>
      </c>
      <c r="N461" s="2">
        <v>38500.90184027778</v>
      </c>
      <c r="O461" s="12"/>
      <c r="AC461" s="11" t="s">
        <v>2117</v>
      </c>
      <c r="AD461" s="11" t="s">
        <v>1469</v>
      </c>
      <c r="AE461" s="11" t="s">
        <v>1815</v>
      </c>
    </row>
    <row r="462" spans="9:31" x14ac:dyDescent="0.25">
      <c r="I462">
        <v>130</v>
      </c>
      <c r="J462" t="s">
        <v>875</v>
      </c>
      <c r="K462" t="s">
        <v>876</v>
      </c>
      <c r="L462">
        <v>24</v>
      </c>
      <c r="M462" s="12">
        <v>93.76</v>
      </c>
      <c r="N462" s="2">
        <v>38496.953819444447</v>
      </c>
      <c r="O462" s="12"/>
      <c r="AC462" s="11" t="s">
        <v>2118</v>
      </c>
      <c r="AD462" s="11" t="s">
        <v>1472</v>
      </c>
      <c r="AE462" s="11" t="s">
        <v>2119</v>
      </c>
    </row>
    <row r="463" spans="9:31" x14ac:dyDescent="0.25">
      <c r="I463">
        <v>229</v>
      </c>
      <c r="J463" t="s">
        <v>789</v>
      </c>
      <c r="K463" t="s">
        <v>790</v>
      </c>
      <c r="L463">
        <v>25</v>
      </c>
      <c r="M463" s="12">
        <v>93.75</v>
      </c>
      <c r="N463" s="2">
        <v>38521.082824074074</v>
      </c>
      <c r="O463" s="12"/>
      <c r="AC463" s="11" t="s">
        <v>2120</v>
      </c>
      <c r="AD463" s="11" t="s">
        <v>1461</v>
      </c>
      <c r="AE463" s="11" t="s">
        <v>1479</v>
      </c>
    </row>
    <row r="464" spans="9:31" x14ac:dyDescent="0.25">
      <c r="I464">
        <v>235</v>
      </c>
      <c r="J464" t="s">
        <v>793</v>
      </c>
      <c r="K464" t="s">
        <v>794</v>
      </c>
      <c r="L464">
        <v>25</v>
      </c>
      <c r="M464" s="12">
        <v>93.75</v>
      </c>
      <c r="N464" s="2">
        <v>38501.785300925927</v>
      </c>
      <c r="O464" s="12"/>
      <c r="AC464" s="11" t="s">
        <v>2121</v>
      </c>
      <c r="AD464" s="11" t="s">
        <v>1472</v>
      </c>
      <c r="AE464" s="11" t="s">
        <v>1537</v>
      </c>
    </row>
    <row r="465" spans="9:31" x14ac:dyDescent="0.25">
      <c r="I465">
        <v>377</v>
      </c>
      <c r="J465" t="s">
        <v>717</v>
      </c>
      <c r="K465" t="s">
        <v>718</v>
      </c>
      <c r="L465">
        <v>26</v>
      </c>
      <c r="M465" s="12">
        <v>93.74</v>
      </c>
      <c r="N465" s="2">
        <v>38522.130231481482</v>
      </c>
      <c r="O465" s="12"/>
      <c r="AC465" s="11" t="s">
        <v>2122</v>
      </c>
      <c r="AD465" s="11" t="s">
        <v>1433</v>
      </c>
      <c r="AE465" s="11" t="s">
        <v>1635</v>
      </c>
    </row>
    <row r="466" spans="9:31" x14ac:dyDescent="0.25">
      <c r="I466">
        <v>6</v>
      </c>
      <c r="J466" t="s">
        <v>502</v>
      </c>
      <c r="K466" t="s">
        <v>503</v>
      </c>
      <c r="L466">
        <v>28</v>
      </c>
      <c r="M466" s="12">
        <v>93.72</v>
      </c>
      <c r="N466" s="2">
        <v>38497.363564814812</v>
      </c>
      <c r="O466" s="12"/>
      <c r="AC466" s="11" t="s">
        <v>2123</v>
      </c>
      <c r="AD466" s="11" t="s">
        <v>1452</v>
      </c>
      <c r="AE466" s="11" t="s">
        <v>2124</v>
      </c>
    </row>
    <row r="467" spans="9:31" x14ac:dyDescent="0.25">
      <c r="I467">
        <v>174</v>
      </c>
      <c r="J467" t="s">
        <v>1081</v>
      </c>
      <c r="K467" t="s">
        <v>1082</v>
      </c>
      <c r="L467">
        <v>21</v>
      </c>
      <c r="M467" s="12">
        <v>92.79</v>
      </c>
      <c r="N467" s="2">
        <v>38497.217002314814</v>
      </c>
      <c r="O467" s="12"/>
      <c r="AC467" s="11" t="s">
        <v>2125</v>
      </c>
      <c r="AD467" s="11" t="s">
        <v>1433</v>
      </c>
      <c r="AE467" s="11" t="s">
        <v>1554</v>
      </c>
    </row>
    <row r="468" spans="9:31" x14ac:dyDescent="0.25">
      <c r="I468">
        <v>301</v>
      </c>
      <c r="J468" t="s">
        <v>627</v>
      </c>
      <c r="K468" t="s">
        <v>1089</v>
      </c>
      <c r="L468">
        <v>21</v>
      </c>
      <c r="M468" s="12">
        <v>92.79</v>
      </c>
      <c r="N468" s="2">
        <v>38497.154050925928</v>
      </c>
      <c r="O468" s="12"/>
      <c r="AC468" s="11" t="s">
        <v>2126</v>
      </c>
      <c r="AD468" s="11" t="s">
        <v>1466</v>
      </c>
      <c r="AE468" s="11" t="s">
        <v>2127</v>
      </c>
    </row>
    <row r="469" spans="9:31" x14ac:dyDescent="0.25">
      <c r="I469">
        <v>8</v>
      </c>
      <c r="J469" t="s">
        <v>852</v>
      </c>
      <c r="K469" t="s">
        <v>853</v>
      </c>
      <c r="L469">
        <v>24</v>
      </c>
      <c r="M469" s="12">
        <v>92.76</v>
      </c>
      <c r="N469" s="2">
        <v>38502.155486111114</v>
      </c>
      <c r="O469" s="12"/>
      <c r="AC469" s="11" t="s">
        <v>2128</v>
      </c>
      <c r="AD469" s="11" t="s">
        <v>1472</v>
      </c>
      <c r="AE469" s="11" t="s">
        <v>2129</v>
      </c>
    </row>
    <row r="470" spans="9:31" x14ac:dyDescent="0.25">
      <c r="I470">
        <v>104</v>
      </c>
      <c r="J470" t="s">
        <v>869</v>
      </c>
      <c r="K470" t="s">
        <v>870</v>
      </c>
      <c r="L470">
        <v>24</v>
      </c>
      <c r="M470" s="12">
        <v>92.76</v>
      </c>
      <c r="N470" s="2">
        <v>38498.101655092592</v>
      </c>
      <c r="O470" s="12"/>
      <c r="AC470" s="11" t="s">
        <v>2130</v>
      </c>
      <c r="AD470" s="11" t="s">
        <v>1392</v>
      </c>
      <c r="AE470" s="11" t="s">
        <v>2131</v>
      </c>
    </row>
    <row r="471" spans="9:31" x14ac:dyDescent="0.25">
      <c r="I471">
        <v>188</v>
      </c>
      <c r="J471" t="s">
        <v>781</v>
      </c>
      <c r="K471" t="s">
        <v>782</v>
      </c>
      <c r="L471">
        <v>25</v>
      </c>
      <c r="M471" s="12">
        <v>92.75</v>
      </c>
      <c r="N471" s="2">
        <v>38519.021990740737</v>
      </c>
      <c r="O471" s="12"/>
      <c r="AC471" s="11" t="s">
        <v>2132</v>
      </c>
      <c r="AD471" s="11" t="s">
        <v>1457</v>
      </c>
      <c r="AE471" s="11" t="s">
        <v>1514</v>
      </c>
    </row>
    <row r="472" spans="9:31" x14ac:dyDescent="0.25">
      <c r="I472">
        <v>36</v>
      </c>
      <c r="J472" t="s">
        <v>586</v>
      </c>
      <c r="K472" t="s">
        <v>587</v>
      </c>
      <c r="L472">
        <v>27</v>
      </c>
      <c r="M472" s="12">
        <v>92.73</v>
      </c>
      <c r="N472" s="2">
        <v>38499.203599537039</v>
      </c>
      <c r="O472" s="12"/>
      <c r="AC472" s="11" t="s">
        <v>2133</v>
      </c>
      <c r="AD472" s="11" t="s">
        <v>1423</v>
      </c>
      <c r="AE472" s="11" t="s">
        <v>1738</v>
      </c>
    </row>
    <row r="473" spans="9:31" x14ac:dyDescent="0.25">
      <c r="I473">
        <v>151</v>
      </c>
      <c r="J473" t="s">
        <v>605</v>
      </c>
      <c r="K473" t="s">
        <v>606</v>
      </c>
      <c r="L473">
        <v>27</v>
      </c>
      <c r="M473" s="12">
        <v>92.73</v>
      </c>
      <c r="N473" s="2">
        <v>38498.101956018516</v>
      </c>
      <c r="O473" s="12"/>
      <c r="AC473" s="11" t="s">
        <v>2134</v>
      </c>
      <c r="AD473" s="11" t="s">
        <v>1459</v>
      </c>
      <c r="AE473" s="11" t="s">
        <v>2135</v>
      </c>
    </row>
    <row r="474" spans="9:31" x14ac:dyDescent="0.25">
      <c r="I474">
        <v>228</v>
      </c>
      <c r="J474" t="s">
        <v>617</v>
      </c>
      <c r="K474" t="s">
        <v>408</v>
      </c>
      <c r="L474">
        <v>27</v>
      </c>
      <c r="M474" s="12">
        <v>92.73</v>
      </c>
      <c r="N474" s="2">
        <v>38500.017337962963</v>
      </c>
      <c r="O474" s="12"/>
      <c r="AC474" s="11" t="s">
        <v>2136</v>
      </c>
      <c r="AD474" s="11" t="s">
        <v>1470</v>
      </c>
      <c r="AE474" s="11" t="s">
        <v>1464</v>
      </c>
    </row>
    <row r="475" spans="9:31" x14ac:dyDescent="0.25">
      <c r="I475">
        <v>212</v>
      </c>
      <c r="J475" t="s">
        <v>1123</v>
      </c>
      <c r="K475" t="s">
        <v>1124</v>
      </c>
      <c r="L475">
        <v>20</v>
      </c>
      <c r="M475" s="12">
        <v>91.8</v>
      </c>
      <c r="N475" s="2">
        <v>38518.553483796299</v>
      </c>
      <c r="O475" s="12"/>
      <c r="AC475" s="11" t="s">
        <v>2137</v>
      </c>
      <c r="AD475" s="11" t="s">
        <v>1426</v>
      </c>
      <c r="AE475" s="11" t="s">
        <v>1791</v>
      </c>
    </row>
    <row r="476" spans="9:31" x14ac:dyDescent="0.25">
      <c r="I476">
        <v>33</v>
      </c>
      <c r="J476" t="s">
        <v>1068</v>
      </c>
      <c r="K476" t="s">
        <v>1069</v>
      </c>
      <c r="L476">
        <v>21</v>
      </c>
      <c r="M476" s="12">
        <v>91.79</v>
      </c>
      <c r="N476" s="2">
        <v>38498.103194444448</v>
      </c>
      <c r="O476" s="12"/>
      <c r="AC476" s="11" t="s">
        <v>2138</v>
      </c>
      <c r="AD476" s="11" t="s">
        <v>1433</v>
      </c>
      <c r="AE476" s="11" t="s">
        <v>2139</v>
      </c>
    </row>
    <row r="477" spans="9:31" x14ac:dyDescent="0.25">
      <c r="I477">
        <v>222</v>
      </c>
      <c r="J477" t="s">
        <v>1083</v>
      </c>
      <c r="K477" t="s">
        <v>1084</v>
      </c>
      <c r="L477">
        <v>21</v>
      </c>
      <c r="M477" s="12">
        <v>91.79</v>
      </c>
      <c r="N477" s="2">
        <v>38496.962048611109</v>
      </c>
      <c r="O477" s="12"/>
      <c r="AC477" s="11" t="s">
        <v>2140</v>
      </c>
      <c r="AD477" s="11" t="s">
        <v>1452</v>
      </c>
      <c r="AE477" s="11" t="s">
        <v>1499</v>
      </c>
    </row>
    <row r="478" spans="9:31" x14ac:dyDescent="0.25">
      <c r="I478">
        <v>399</v>
      </c>
      <c r="J478" t="s">
        <v>1092</v>
      </c>
      <c r="K478" t="s">
        <v>1093</v>
      </c>
      <c r="L478">
        <v>21</v>
      </c>
      <c r="M478" s="12">
        <v>91.79</v>
      </c>
      <c r="N478" s="2">
        <v>38497.001631944448</v>
      </c>
      <c r="O478" s="12"/>
      <c r="AC478" s="11" t="s">
        <v>2141</v>
      </c>
      <c r="AD478" s="11" t="s">
        <v>1459</v>
      </c>
      <c r="AE478" s="11" t="s">
        <v>2142</v>
      </c>
    </row>
    <row r="479" spans="9:31" x14ac:dyDescent="0.25">
      <c r="I479">
        <v>18</v>
      </c>
      <c r="J479" t="s">
        <v>1009</v>
      </c>
      <c r="K479" t="s">
        <v>1010</v>
      </c>
      <c r="L479">
        <v>22</v>
      </c>
      <c r="M479" s="12">
        <v>91.78</v>
      </c>
      <c r="N479" s="2">
        <v>38497.281168981484</v>
      </c>
      <c r="O479" s="12"/>
      <c r="AC479" s="11" t="s">
        <v>2143</v>
      </c>
      <c r="AD479" s="11" t="s">
        <v>1429</v>
      </c>
      <c r="AE479" s="11" t="s">
        <v>1454</v>
      </c>
    </row>
    <row r="480" spans="9:31" x14ac:dyDescent="0.25">
      <c r="I480">
        <v>325</v>
      </c>
      <c r="J480" t="s">
        <v>1036</v>
      </c>
      <c r="K480" t="s">
        <v>1037</v>
      </c>
      <c r="L480">
        <v>22</v>
      </c>
      <c r="M480" s="12">
        <v>91.78</v>
      </c>
      <c r="N480" s="2">
        <v>38497.904699074075</v>
      </c>
      <c r="O480" s="12"/>
      <c r="AC480" s="11" t="s">
        <v>2144</v>
      </c>
      <c r="AD480" s="11" t="s">
        <v>1433</v>
      </c>
      <c r="AE480" s="11" t="s">
        <v>2145</v>
      </c>
    </row>
    <row r="481" spans="9:31" x14ac:dyDescent="0.25">
      <c r="I481">
        <v>93</v>
      </c>
      <c r="J481" t="s">
        <v>931</v>
      </c>
      <c r="K481" t="s">
        <v>932</v>
      </c>
      <c r="L481">
        <v>23</v>
      </c>
      <c r="M481" s="12">
        <v>91.77</v>
      </c>
      <c r="N481" s="2">
        <v>38497.796990740739</v>
      </c>
      <c r="O481" s="12"/>
      <c r="AC481" s="11" t="s">
        <v>2146</v>
      </c>
      <c r="AD481" s="11" t="s">
        <v>1423</v>
      </c>
      <c r="AE481" s="11" t="s">
        <v>2147</v>
      </c>
    </row>
    <row r="482" spans="9:31" x14ac:dyDescent="0.25">
      <c r="I482">
        <v>392</v>
      </c>
      <c r="J482" t="s">
        <v>980</v>
      </c>
      <c r="K482" t="s">
        <v>981</v>
      </c>
      <c r="L482">
        <v>23</v>
      </c>
      <c r="M482" s="12">
        <v>91.77</v>
      </c>
      <c r="N482" s="2">
        <v>38519.026469907411</v>
      </c>
      <c r="O482" s="12"/>
      <c r="AC482" s="11" t="s">
        <v>2148</v>
      </c>
      <c r="AD482" s="11" t="s">
        <v>1459</v>
      </c>
      <c r="AE482" s="11" t="s">
        <v>1763</v>
      </c>
    </row>
    <row r="483" spans="9:31" x14ac:dyDescent="0.25">
      <c r="I483">
        <v>99</v>
      </c>
      <c r="J483" t="s">
        <v>863</v>
      </c>
      <c r="K483" t="s">
        <v>864</v>
      </c>
      <c r="L483">
        <v>24</v>
      </c>
      <c r="M483" s="12">
        <v>91.76</v>
      </c>
      <c r="N483" s="2">
        <v>38502.162997685184</v>
      </c>
      <c r="O483" s="12"/>
      <c r="AC483" s="11" t="s">
        <v>2149</v>
      </c>
      <c r="AD483" s="11" t="s">
        <v>1426</v>
      </c>
      <c r="AE483" s="11" t="s">
        <v>2150</v>
      </c>
    </row>
    <row r="484" spans="9:31" x14ac:dyDescent="0.25">
      <c r="I484">
        <v>382</v>
      </c>
      <c r="J484" t="s">
        <v>892</v>
      </c>
      <c r="K484" t="s">
        <v>893</v>
      </c>
      <c r="L484">
        <v>24</v>
      </c>
      <c r="M484" s="12">
        <v>91.76</v>
      </c>
      <c r="N484" s="2">
        <v>38499.272569444445</v>
      </c>
      <c r="O484" s="12"/>
      <c r="AC484" s="11" t="s">
        <v>2151</v>
      </c>
      <c r="AD484" s="11" t="s">
        <v>1455</v>
      </c>
      <c r="AE484" s="11" t="s">
        <v>1864</v>
      </c>
    </row>
    <row r="485" spans="9:31" x14ac:dyDescent="0.25">
      <c r="I485">
        <v>564</v>
      </c>
      <c r="J485" t="s">
        <v>916</v>
      </c>
      <c r="K485" t="s">
        <v>917</v>
      </c>
      <c r="L485">
        <v>24</v>
      </c>
      <c r="M485" s="12">
        <v>91.76</v>
      </c>
      <c r="N485" s="2">
        <v>38498.286527777775</v>
      </c>
      <c r="O485" s="12"/>
      <c r="AC485" s="11" t="s">
        <v>2152</v>
      </c>
      <c r="AD485" s="11" t="s">
        <v>1472</v>
      </c>
      <c r="AE485" s="11" t="s">
        <v>1521</v>
      </c>
    </row>
    <row r="486" spans="9:31" x14ac:dyDescent="0.25">
      <c r="I486">
        <v>435</v>
      </c>
      <c r="J486" t="s">
        <v>820</v>
      </c>
      <c r="K486" t="s">
        <v>821</v>
      </c>
      <c r="L486">
        <v>25</v>
      </c>
      <c r="M486" s="12">
        <v>91.75</v>
      </c>
      <c r="N486" s="2">
        <v>38501.437349537038</v>
      </c>
      <c r="O486" s="12"/>
      <c r="AC486" s="11" t="s">
        <v>2153</v>
      </c>
      <c r="AD486" s="11" t="s">
        <v>1452</v>
      </c>
      <c r="AE486" s="11" t="s">
        <v>1634</v>
      </c>
    </row>
    <row r="487" spans="9:31" x14ac:dyDescent="0.25">
      <c r="I487">
        <v>463</v>
      </c>
      <c r="J487" t="s">
        <v>826</v>
      </c>
      <c r="K487" t="s">
        <v>827</v>
      </c>
      <c r="L487">
        <v>25</v>
      </c>
      <c r="M487" s="12">
        <v>91.75</v>
      </c>
      <c r="N487" s="2">
        <v>38500.370162037034</v>
      </c>
      <c r="O487" s="12"/>
      <c r="AC487" s="11" t="s">
        <v>2154</v>
      </c>
      <c r="AD487" s="11" t="s">
        <v>1461</v>
      </c>
      <c r="AE487" s="11" t="s">
        <v>1800</v>
      </c>
    </row>
    <row r="488" spans="9:31" x14ac:dyDescent="0.25">
      <c r="I488">
        <v>208</v>
      </c>
      <c r="J488" t="s">
        <v>685</v>
      </c>
      <c r="K488" t="s">
        <v>686</v>
      </c>
      <c r="L488">
        <v>26</v>
      </c>
      <c r="M488" s="12">
        <v>91.74</v>
      </c>
      <c r="N488" s="2">
        <v>38497.70171296296</v>
      </c>
      <c r="O488" s="12"/>
      <c r="AC488" s="11" t="s">
        <v>2155</v>
      </c>
      <c r="AD488" s="11" t="s">
        <v>1463</v>
      </c>
      <c r="AE488" s="11" t="s">
        <v>1693</v>
      </c>
    </row>
    <row r="489" spans="9:31" x14ac:dyDescent="0.25">
      <c r="I489">
        <v>215</v>
      </c>
      <c r="J489" t="s">
        <v>231</v>
      </c>
      <c r="K489" t="s">
        <v>687</v>
      </c>
      <c r="L489">
        <v>26</v>
      </c>
      <c r="M489" s="12">
        <v>91.74</v>
      </c>
      <c r="N489" s="2">
        <v>38501.159062500003</v>
      </c>
      <c r="O489" s="12"/>
      <c r="AC489" s="11" t="s">
        <v>2156</v>
      </c>
      <c r="AD489" s="11" t="s">
        <v>1472</v>
      </c>
      <c r="AE489" s="11" t="s">
        <v>2119</v>
      </c>
    </row>
    <row r="490" spans="9:31" x14ac:dyDescent="0.25">
      <c r="I490">
        <v>115</v>
      </c>
      <c r="J490" t="s">
        <v>370</v>
      </c>
      <c r="K490" t="s">
        <v>371</v>
      </c>
      <c r="L490">
        <v>30</v>
      </c>
      <c r="M490" s="12">
        <v>91.7</v>
      </c>
      <c r="N490" s="2">
        <v>38502.472534722219</v>
      </c>
      <c r="O490" s="12"/>
      <c r="AC490" s="11" t="s">
        <v>2157</v>
      </c>
      <c r="AD490" s="11" t="s">
        <v>1466</v>
      </c>
      <c r="AE490" s="11" t="s">
        <v>2158</v>
      </c>
    </row>
    <row r="491" spans="9:31" x14ac:dyDescent="0.25">
      <c r="I491">
        <v>552</v>
      </c>
      <c r="J491" t="s">
        <v>1112</v>
      </c>
      <c r="K491" t="s">
        <v>1113</v>
      </c>
      <c r="L491">
        <v>21</v>
      </c>
      <c r="M491" s="12">
        <v>90.79</v>
      </c>
      <c r="N491" s="2">
        <v>38498.155671296299</v>
      </c>
      <c r="O491" s="12"/>
      <c r="AC491" s="11" t="s">
        <v>2159</v>
      </c>
      <c r="AD491" s="11" t="s">
        <v>1472</v>
      </c>
      <c r="AE491" s="11" t="s">
        <v>1860</v>
      </c>
    </row>
    <row r="492" spans="9:31" x14ac:dyDescent="0.25">
      <c r="I492">
        <v>539</v>
      </c>
      <c r="J492" t="s">
        <v>1055</v>
      </c>
      <c r="K492" t="s">
        <v>1056</v>
      </c>
      <c r="L492">
        <v>22</v>
      </c>
      <c r="M492" s="12">
        <v>90.78</v>
      </c>
      <c r="N492" s="2">
        <v>38498.604444444441</v>
      </c>
      <c r="O492" s="12"/>
      <c r="AC492" s="11" t="s">
        <v>2160</v>
      </c>
      <c r="AD492" s="11" t="s">
        <v>1443</v>
      </c>
      <c r="AE492" s="11" t="s">
        <v>1449</v>
      </c>
    </row>
    <row r="493" spans="9:31" x14ac:dyDescent="0.25">
      <c r="I493">
        <v>184</v>
      </c>
      <c r="J493" t="s">
        <v>942</v>
      </c>
      <c r="K493" t="s">
        <v>943</v>
      </c>
      <c r="L493">
        <v>23</v>
      </c>
      <c r="M493" s="12">
        <v>90.77</v>
      </c>
      <c r="N493" s="2">
        <v>38498.288865740738</v>
      </c>
      <c r="O493" s="12"/>
      <c r="AC493" s="11" t="s">
        <v>2161</v>
      </c>
      <c r="AD493" s="11" t="s">
        <v>1453</v>
      </c>
      <c r="AE493" s="11" t="s">
        <v>2162</v>
      </c>
    </row>
    <row r="494" spans="9:31" x14ac:dyDescent="0.25">
      <c r="I494">
        <v>328</v>
      </c>
      <c r="J494" t="s">
        <v>963</v>
      </c>
      <c r="K494" t="s">
        <v>964</v>
      </c>
      <c r="L494">
        <v>23</v>
      </c>
      <c r="M494" s="12">
        <v>90.77</v>
      </c>
      <c r="N494" s="2">
        <v>38502.131377314814</v>
      </c>
      <c r="O494" s="12"/>
      <c r="AC494" s="11" t="s">
        <v>2163</v>
      </c>
      <c r="AD494" s="11" t="s">
        <v>1459</v>
      </c>
      <c r="AE494" s="11" t="s">
        <v>1485</v>
      </c>
    </row>
    <row r="495" spans="9:31" x14ac:dyDescent="0.25">
      <c r="I495">
        <v>501</v>
      </c>
      <c r="J495" t="s">
        <v>1106</v>
      </c>
      <c r="K495" t="s">
        <v>1107</v>
      </c>
      <c r="L495">
        <v>21</v>
      </c>
      <c r="M495" s="12">
        <v>89.79</v>
      </c>
      <c r="N495" s="2">
        <v>38500.023738425924</v>
      </c>
      <c r="O495" s="12"/>
      <c r="AC495" s="11" t="s">
        <v>2164</v>
      </c>
      <c r="AD495" s="11" t="s">
        <v>1459</v>
      </c>
      <c r="AE495" s="11" t="s">
        <v>2165</v>
      </c>
    </row>
    <row r="496" spans="9:31" x14ac:dyDescent="0.25">
      <c r="I496">
        <v>545</v>
      </c>
      <c r="J496" t="s">
        <v>1110</v>
      </c>
      <c r="K496" t="s">
        <v>1111</v>
      </c>
      <c r="L496">
        <v>21</v>
      </c>
      <c r="M496" s="12">
        <v>89.79</v>
      </c>
      <c r="N496" s="2">
        <v>38498.588865740741</v>
      </c>
      <c r="O496" s="12"/>
      <c r="AC496" s="11" t="s">
        <v>2166</v>
      </c>
      <c r="AD496" s="11" t="s">
        <v>1443</v>
      </c>
      <c r="AE496" s="11" t="s">
        <v>1637</v>
      </c>
    </row>
    <row r="497" spans="9:31" x14ac:dyDescent="0.25">
      <c r="I497">
        <v>143</v>
      </c>
      <c r="J497" t="s">
        <v>148</v>
      </c>
      <c r="K497" t="s">
        <v>289</v>
      </c>
      <c r="L497">
        <v>22</v>
      </c>
      <c r="M497" s="12">
        <v>89.78</v>
      </c>
      <c r="N497" s="2">
        <v>38498.426493055558</v>
      </c>
      <c r="O497" s="12"/>
      <c r="AC497" s="11" t="s">
        <v>2167</v>
      </c>
      <c r="AD497" s="11" t="s">
        <v>1429</v>
      </c>
      <c r="AE497" s="11" t="s">
        <v>1460</v>
      </c>
    </row>
    <row r="498" spans="9:31" x14ac:dyDescent="0.25">
      <c r="I498">
        <v>9</v>
      </c>
      <c r="J498" t="s">
        <v>921</v>
      </c>
      <c r="K498" t="s">
        <v>922</v>
      </c>
      <c r="L498">
        <v>23</v>
      </c>
      <c r="M498" s="12">
        <v>89.77</v>
      </c>
      <c r="N498" s="2">
        <v>38499.209351851852</v>
      </c>
      <c r="O498" s="12"/>
      <c r="AC498" s="11" t="s">
        <v>2168</v>
      </c>
      <c r="AD498" s="11" t="s">
        <v>1446</v>
      </c>
      <c r="AE498" s="11" t="s">
        <v>1981</v>
      </c>
    </row>
    <row r="499" spans="9:31" x14ac:dyDescent="0.25">
      <c r="I499">
        <v>233</v>
      </c>
      <c r="J499" t="s">
        <v>951</v>
      </c>
      <c r="K499" t="s">
        <v>952</v>
      </c>
      <c r="L499">
        <v>23</v>
      </c>
      <c r="M499" s="12">
        <v>89.77</v>
      </c>
      <c r="N499" s="2">
        <v>38520.457557870373</v>
      </c>
      <c r="O499" s="12"/>
      <c r="AC499" s="11" t="s">
        <v>2169</v>
      </c>
      <c r="AD499" s="11" t="s">
        <v>1443</v>
      </c>
      <c r="AE499" s="11" t="s">
        <v>1511</v>
      </c>
    </row>
    <row r="500" spans="9:31" x14ac:dyDescent="0.25">
      <c r="I500">
        <v>313</v>
      </c>
      <c r="J500" t="s">
        <v>961</v>
      </c>
      <c r="K500" t="s">
        <v>962</v>
      </c>
      <c r="L500">
        <v>23</v>
      </c>
      <c r="M500" s="12">
        <v>89.77</v>
      </c>
      <c r="N500" s="2">
        <v>38500.919039351851</v>
      </c>
      <c r="O500" s="12"/>
      <c r="AC500" s="11" t="s">
        <v>2170</v>
      </c>
      <c r="AD500" s="11" t="s">
        <v>1410</v>
      </c>
      <c r="AE500" s="11" t="s">
        <v>1686</v>
      </c>
    </row>
    <row r="501" spans="9:31" x14ac:dyDescent="0.25">
      <c r="I501">
        <v>34</v>
      </c>
      <c r="J501" t="s">
        <v>858</v>
      </c>
      <c r="K501" t="s">
        <v>804</v>
      </c>
      <c r="L501">
        <v>24</v>
      </c>
      <c r="M501" s="12">
        <v>89.76</v>
      </c>
      <c r="N501" s="2">
        <v>38520.187476851854</v>
      </c>
      <c r="O501" s="12"/>
      <c r="AC501" s="11" t="s">
        <v>2171</v>
      </c>
      <c r="AD501" s="11" t="s">
        <v>1461</v>
      </c>
      <c r="AE501" s="11" t="s">
        <v>2009</v>
      </c>
    </row>
    <row r="502" spans="9:31" x14ac:dyDescent="0.25">
      <c r="I502">
        <v>351</v>
      </c>
      <c r="J502" t="s">
        <v>888</v>
      </c>
      <c r="K502" t="s">
        <v>889</v>
      </c>
      <c r="L502">
        <v>24</v>
      </c>
      <c r="M502" s="12">
        <v>89.76</v>
      </c>
      <c r="N502" s="2">
        <v>38503.805717592593</v>
      </c>
      <c r="O502" s="12"/>
      <c r="AC502" s="11" t="s">
        <v>1240</v>
      </c>
      <c r="AD502" s="11" t="s">
        <v>1457</v>
      </c>
      <c r="AE502" s="11" t="s">
        <v>2014</v>
      </c>
    </row>
    <row r="503" spans="9:31" x14ac:dyDescent="0.25">
      <c r="I503">
        <v>384</v>
      </c>
      <c r="J503" t="s">
        <v>810</v>
      </c>
      <c r="K503" t="s">
        <v>811</v>
      </c>
      <c r="L503">
        <v>25</v>
      </c>
      <c r="M503" s="12">
        <v>89.75</v>
      </c>
      <c r="N503" s="2">
        <v>38497.72965277778</v>
      </c>
      <c r="O503" s="12"/>
      <c r="AC503" s="11" t="s">
        <v>2172</v>
      </c>
      <c r="AD503" s="11" t="s">
        <v>1435</v>
      </c>
      <c r="AE503" s="11" t="s">
        <v>1883</v>
      </c>
    </row>
    <row r="504" spans="9:31" x14ac:dyDescent="0.25">
      <c r="I504">
        <v>419</v>
      </c>
      <c r="J504" t="s">
        <v>816</v>
      </c>
      <c r="K504" t="s">
        <v>817</v>
      </c>
      <c r="L504">
        <v>25</v>
      </c>
      <c r="M504" s="12">
        <v>89.75</v>
      </c>
      <c r="N504" s="2">
        <v>38497.388101851851</v>
      </c>
      <c r="O504" s="12"/>
      <c r="AC504" s="11" t="s">
        <v>2173</v>
      </c>
      <c r="AD504" s="11" t="s">
        <v>1410</v>
      </c>
      <c r="AE504" s="11" t="s">
        <v>1672</v>
      </c>
    </row>
    <row r="505" spans="9:31" x14ac:dyDescent="0.25">
      <c r="I505">
        <v>357</v>
      </c>
      <c r="J505" t="s">
        <v>715</v>
      </c>
      <c r="K505" t="s">
        <v>716</v>
      </c>
      <c r="L505">
        <v>26</v>
      </c>
      <c r="M505" s="12">
        <v>89.74</v>
      </c>
      <c r="N505" s="2">
        <v>38497.993009259262</v>
      </c>
      <c r="O505" s="12"/>
      <c r="AC505" s="11" t="s">
        <v>2174</v>
      </c>
      <c r="AD505" s="11" t="s">
        <v>1469</v>
      </c>
      <c r="AE505" s="11" t="s">
        <v>2088</v>
      </c>
    </row>
    <row r="506" spans="9:31" x14ac:dyDescent="0.25">
      <c r="I506">
        <v>450</v>
      </c>
      <c r="J506" t="s">
        <v>735</v>
      </c>
      <c r="K506" t="s">
        <v>736</v>
      </c>
      <c r="L506">
        <v>26</v>
      </c>
      <c r="M506" s="12">
        <v>89.74</v>
      </c>
      <c r="N506" s="2">
        <v>38500.315925925926</v>
      </c>
      <c r="O506" s="12"/>
      <c r="AC506" s="11" t="s">
        <v>2175</v>
      </c>
      <c r="AD506" s="11" t="s">
        <v>1423</v>
      </c>
      <c r="AE506" s="11" t="s">
        <v>2124</v>
      </c>
    </row>
    <row r="507" spans="9:31" x14ac:dyDescent="0.25">
      <c r="I507">
        <v>483</v>
      </c>
      <c r="J507" t="s">
        <v>1189</v>
      </c>
      <c r="K507" t="s">
        <v>1190</v>
      </c>
      <c r="L507">
        <v>18</v>
      </c>
      <c r="M507" s="12">
        <v>88.82</v>
      </c>
      <c r="N507" s="2">
        <v>38501.358680555553</v>
      </c>
      <c r="O507" s="12"/>
      <c r="AC507" s="11" t="s">
        <v>1250</v>
      </c>
      <c r="AD507" s="11" t="s">
        <v>1461</v>
      </c>
      <c r="AE507" s="11" t="s">
        <v>2030</v>
      </c>
    </row>
    <row r="508" spans="9:31" x14ac:dyDescent="0.25">
      <c r="I508">
        <v>203</v>
      </c>
      <c r="J508" t="s">
        <v>1122</v>
      </c>
      <c r="K508" t="s">
        <v>400</v>
      </c>
      <c r="L508">
        <v>20</v>
      </c>
      <c r="M508" s="12">
        <v>88.8</v>
      </c>
      <c r="N508" s="2">
        <v>38498.965057870373</v>
      </c>
      <c r="O508" s="12"/>
      <c r="AC508" s="11" t="s">
        <v>2176</v>
      </c>
      <c r="AD508" s="11" t="s">
        <v>1455</v>
      </c>
      <c r="AE508" s="11" t="s">
        <v>1558</v>
      </c>
    </row>
    <row r="509" spans="9:31" x14ac:dyDescent="0.25">
      <c r="I509">
        <v>496</v>
      </c>
      <c r="J509" t="s">
        <v>1104</v>
      </c>
      <c r="K509" t="s">
        <v>1105</v>
      </c>
      <c r="L509">
        <v>21</v>
      </c>
      <c r="M509" s="12">
        <v>88.79</v>
      </c>
      <c r="N509" s="2">
        <v>38499.033043981479</v>
      </c>
      <c r="O509" s="12"/>
      <c r="AC509" s="11" t="s">
        <v>2177</v>
      </c>
      <c r="AD509" s="11" t="s">
        <v>1463</v>
      </c>
      <c r="AE509" s="11" t="s">
        <v>1709</v>
      </c>
    </row>
    <row r="510" spans="9:31" x14ac:dyDescent="0.25">
      <c r="I510">
        <v>440</v>
      </c>
      <c r="J510" t="s">
        <v>1042</v>
      </c>
      <c r="K510" t="s">
        <v>1043</v>
      </c>
      <c r="L510">
        <v>22</v>
      </c>
      <c r="M510" s="12">
        <v>88.78</v>
      </c>
      <c r="N510" s="2">
        <v>38502.745474537034</v>
      </c>
      <c r="O510" s="12"/>
      <c r="AC510" s="11" t="s">
        <v>1242</v>
      </c>
      <c r="AD510" s="11" t="s">
        <v>1410</v>
      </c>
      <c r="AE510" s="11" t="s">
        <v>2178</v>
      </c>
    </row>
    <row r="511" spans="9:31" x14ac:dyDescent="0.25">
      <c r="I511">
        <v>534</v>
      </c>
      <c r="J511" t="s">
        <v>906</v>
      </c>
      <c r="K511" t="s">
        <v>907</v>
      </c>
      <c r="L511">
        <v>24</v>
      </c>
      <c r="M511" s="12">
        <v>88.76</v>
      </c>
      <c r="N511" s="2">
        <v>38498.889907407407</v>
      </c>
      <c r="O511" s="12"/>
      <c r="AC511" s="11" t="s">
        <v>1255</v>
      </c>
      <c r="AD511" s="11" t="s">
        <v>1455</v>
      </c>
      <c r="AE511" s="11" t="s">
        <v>1712</v>
      </c>
    </row>
    <row r="512" spans="9:31" x14ac:dyDescent="0.25">
      <c r="I512">
        <v>369</v>
      </c>
      <c r="J512" t="s">
        <v>808</v>
      </c>
      <c r="K512" t="s">
        <v>809</v>
      </c>
      <c r="L512">
        <v>25</v>
      </c>
      <c r="M512" s="12">
        <v>88.75</v>
      </c>
      <c r="N512" s="2">
        <v>38497.170335648145</v>
      </c>
      <c r="O512" s="12"/>
      <c r="AC512" s="11" t="s">
        <v>2179</v>
      </c>
      <c r="AD512" s="11" t="s">
        <v>1446</v>
      </c>
      <c r="AE512" s="11" t="s">
        <v>2180</v>
      </c>
    </row>
    <row r="513" spans="9:31" x14ac:dyDescent="0.25">
      <c r="I513">
        <v>278</v>
      </c>
      <c r="J513" t="s">
        <v>700</v>
      </c>
      <c r="K513" t="s">
        <v>701</v>
      </c>
      <c r="L513">
        <v>26</v>
      </c>
      <c r="M513" s="12">
        <v>88.74</v>
      </c>
      <c r="N513" s="2">
        <v>38503.511076388888</v>
      </c>
      <c r="O513" s="12"/>
      <c r="AC513" s="11" t="s">
        <v>2181</v>
      </c>
      <c r="AD513" s="11" t="s">
        <v>1472</v>
      </c>
      <c r="AE513" s="11" t="s">
        <v>2182</v>
      </c>
    </row>
    <row r="514" spans="9:31" x14ac:dyDescent="0.25">
      <c r="I514">
        <v>194</v>
      </c>
      <c r="J514" t="s">
        <v>1176</v>
      </c>
      <c r="K514" t="s">
        <v>1177</v>
      </c>
      <c r="L514">
        <v>18</v>
      </c>
      <c r="M514" s="12">
        <v>87.82</v>
      </c>
      <c r="N514" s="2">
        <v>38499.127164351848</v>
      </c>
      <c r="O514" s="12"/>
      <c r="AC514" s="11" t="s">
        <v>2183</v>
      </c>
      <c r="AD514" s="11" t="s">
        <v>1433</v>
      </c>
      <c r="AE514" s="11" t="s">
        <v>2184</v>
      </c>
    </row>
    <row r="515" spans="9:31" x14ac:dyDescent="0.25">
      <c r="I515">
        <v>524</v>
      </c>
      <c r="J515" t="s">
        <v>1158</v>
      </c>
      <c r="K515" t="s">
        <v>1159</v>
      </c>
      <c r="L515">
        <v>19</v>
      </c>
      <c r="M515" s="12">
        <v>87.81</v>
      </c>
      <c r="N515" s="2">
        <v>38497.813402777778</v>
      </c>
      <c r="O515" s="12"/>
      <c r="AC515" s="11" t="s">
        <v>2185</v>
      </c>
      <c r="AD515" s="11" t="s">
        <v>1470</v>
      </c>
      <c r="AE515" s="11" t="s">
        <v>1592</v>
      </c>
    </row>
    <row r="516" spans="9:31" x14ac:dyDescent="0.25">
      <c r="I516">
        <v>88</v>
      </c>
      <c r="J516" t="s">
        <v>1070</v>
      </c>
      <c r="K516" t="s">
        <v>1071</v>
      </c>
      <c r="L516">
        <v>21</v>
      </c>
      <c r="M516" s="12">
        <v>87.79</v>
      </c>
      <c r="N516" s="2">
        <v>38497.191967592589</v>
      </c>
      <c r="O516" s="12"/>
      <c r="AC516" s="11" t="s">
        <v>2186</v>
      </c>
      <c r="AD516" s="11" t="s">
        <v>1461</v>
      </c>
      <c r="AE516" s="11" t="s">
        <v>2187</v>
      </c>
    </row>
    <row r="517" spans="9:31" x14ac:dyDescent="0.25">
      <c r="I517">
        <v>226</v>
      </c>
      <c r="J517" t="s">
        <v>1085</v>
      </c>
      <c r="K517" t="s">
        <v>1086</v>
      </c>
      <c r="L517">
        <v>21</v>
      </c>
      <c r="M517" s="12">
        <v>87.79</v>
      </c>
      <c r="N517" s="2">
        <v>38524.70752314815</v>
      </c>
      <c r="O517" s="12"/>
      <c r="AC517" s="11" t="s">
        <v>2188</v>
      </c>
      <c r="AD517" s="11" t="s">
        <v>1446</v>
      </c>
      <c r="AE517" s="11" t="s">
        <v>1664</v>
      </c>
    </row>
    <row r="518" spans="9:31" x14ac:dyDescent="0.25">
      <c r="I518">
        <v>85</v>
      </c>
      <c r="J518" t="s">
        <v>929</v>
      </c>
      <c r="K518" t="s">
        <v>930</v>
      </c>
      <c r="L518">
        <v>23</v>
      </c>
      <c r="M518" s="12">
        <v>87.77</v>
      </c>
      <c r="N518" s="2">
        <v>38501.038113425922</v>
      </c>
      <c r="O518" s="12"/>
      <c r="AC518" s="11" t="s">
        <v>2189</v>
      </c>
      <c r="AD518" s="11" t="s">
        <v>1461</v>
      </c>
      <c r="AE518" s="11" t="s">
        <v>2139</v>
      </c>
    </row>
    <row r="519" spans="9:31" x14ac:dyDescent="0.25">
      <c r="I519">
        <v>227</v>
      </c>
      <c r="J519" t="s">
        <v>881</v>
      </c>
      <c r="K519" t="s">
        <v>882</v>
      </c>
      <c r="L519">
        <v>24</v>
      </c>
      <c r="M519" s="12">
        <v>87.76</v>
      </c>
      <c r="N519" s="2">
        <v>38497.781469907408</v>
      </c>
      <c r="O519" s="12"/>
      <c r="AC519" s="11" t="s">
        <v>1241</v>
      </c>
      <c r="AD519" s="11" t="s">
        <v>1466</v>
      </c>
      <c r="AE519" s="11" t="s">
        <v>1478</v>
      </c>
    </row>
    <row r="520" spans="9:31" x14ac:dyDescent="0.25">
      <c r="I520">
        <v>455</v>
      </c>
      <c r="J520" t="s">
        <v>896</v>
      </c>
      <c r="K520" t="s">
        <v>897</v>
      </c>
      <c r="L520">
        <v>24</v>
      </c>
      <c r="M520" s="12">
        <v>87.76</v>
      </c>
      <c r="N520" s="2">
        <v>38497.800983796296</v>
      </c>
      <c r="O520" s="12"/>
      <c r="AC520" s="11" t="s">
        <v>2190</v>
      </c>
      <c r="AD520" s="11" t="s">
        <v>1443</v>
      </c>
      <c r="AE520" s="11" t="s">
        <v>1468</v>
      </c>
    </row>
    <row r="521" spans="9:31" x14ac:dyDescent="0.25">
      <c r="I521">
        <v>195</v>
      </c>
      <c r="J521" t="s">
        <v>1147</v>
      </c>
      <c r="K521" t="s">
        <v>1148</v>
      </c>
      <c r="L521">
        <v>19</v>
      </c>
      <c r="M521" s="12">
        <v>86.81</v>
      </c>
      <c r="N521" s="2">
        <v>38540.542766203704</v>
      </c>
      <c r="O521" s="12"/>
      <c r="AC521" s="11" t="s">
        <v>2191</v>
      </c>
      <c r="AD521" s="11" t="s">
        <v>1455</v>
      </c>
      <c r="AE521" s="11" t="s">
        <v>1491</v>
      </c>
    </row>
    <row r="522" spans="9:31" x14ac:dyDescent="0.25">
      <c r="I522">
        <v>478</v>
      </c>
      <c r="J522" t="s">
        <v>350</v>
      </c>
      <c r="K522" t="s">
        <v>1157</v>
      </c>
      <c r="L522">
        <v>19</v>
      </c>
      <c r="M522" s="12">
        <v>86.81</v>
      </c>
      <c r="N522" s="2">
        <v>38519.589398148149</v>
      </c>
      <c r="O522" s="12"/>
      <c r="AC522" s="11" t="s">
        <v>1247</v>
      </c>
      <c r="AD522" s="11" t="s">
        <v>1461</v>
      </c>
      <c r="AE522" s="11" t="s">
        <v>1460</v>
      </c>
    </row>
    <row r="523" spans="9:31" x14ac:dyDescent="0.25">
      <c r="I523">
        <v>165</v>
      </c>
      <c r="J523" t="s">
        <v>1079</v>
      </c>
      <c r="K523" t="s">
        <v>1080</v>
      </c>
      <c r="L523">
        <v>21</v>
      </c>
      <c r="M523" s="12">
        <v>86.79</v>
      </c>
      <c r="N523" s="2">
        <v>38499.154768518521</v>
      </c>
      <c r="O523" s="12"/>
      <c r="AC523" s="11" t="s">
        <v>2192</v>
      </c>
      <c r="AD523" s="11" t="s">
        <v>1455</v>
      </c>
      <c r="AE523" s="11" t="s">
        <v>2193</v>
      </c>
    </row>
    <row r="524" spans="9:31" x14ac:dyDescent="0.25">
      <c r="I524">
        <v>283</v>
      </c>
      <c r="J524" t="s">
        <v>540</v>
      </c>
      <c r="K524" t="s">
        <v>541</v>
      </c>
      <c r="L524">
        <v>28</v>
      </c>
      <c r="M524" s="12">
        <v>86.72</v>
      </c>
      <c r="N524" s="2">
        <v>38519.705555555556</v>
      </c>
      <c r="O524" s="12"/>
      <c r="AC524" s="11" t="s">
        <v>2194</v>
      </c>
      <c r="AD524" s="11" t="s">
        <v>1418</v>
      </c>
      <c r="AE524" s="11" t="s">
        <v>2195</v>
      </c>
    </row>
    <row r="525" spans="9:31" x14ac:dyDescent="0.25">
      <c r="I525">
        <v>567</v>
      </c>
      <c r="J525" t="s">
        <v>1143</v>
      </c>
      <c r="K525" t="s">
        <v>1144</v>
      </c>
      <c r="L525">
        <v>20</v>
      </c>
      <c r="M525" s="12">
        <v>85.8</v>
      </c>
      <c r="N525" s="2">
        <v>38522.540891203702</v>
      </c>
      <c r="O525" s="12"/>
      <c r="AC525" s="11" t="s">
        <v>2196</v>
      </c>
      <c r="AD525" s="11" t="s">
        <v>1470</v>
      </c>
      <c r="AE525" s="11" t="s">
        <v>1471</v>
      </c>
    </row>
    <row r="526" spans="9:31" x14ac:dyDescent="0.25">
      <c r="I526">
        <v>412</v>
      </c>
      <c r="J526" t="s">
        <v>304</v>
      </c>
      <c r="K526" t="s">
        <v>1096</v>
      </c>
      <c r="L526">
        <v>21</v>
      </c>
      <c r="M526" s="12">
        <v>85.79</v>
      </c>
      <c r="N526" s="2">
        <v>38498.259791666664</v>
      </c>
      <c r="O526" s="12"/>
      <c r="AC526" s="11" t="s">
        <v>2197</v>
      </c>
      <c r="AD526" s="11" t="s">
        <v>1443</v>
      </c>
      <c r="AE526" s="11" t="s">
        <v>1791</v>
      </c>
    </row>
    <row r="527" spans="9:31" x14ac:dyDescent="0.25">
      <c r="I527">
        <v>315</v>
      </c>
      <c r="J527" t="s">
        <v>1197</v>
      </c>
      <c r="K527" t="s">
        <v>1198</v>
      </c>
      <c r="L527">
        <v>17</v>
      </c>
      <c r="M527" s="12">
        <v>84.83</v>
      </c>
      <c r="N527" s="2">
        <v>38500.264525462961</v>
      </c>
      <c r="O527" s="12"/>
      <c r="AC527" s="11" t="s">
        <v>2198</v>
      </c>
      <c r="AD527" s="11" t="s">
        <v>1457</v>
      </c>
      <c r="AE527" s="11" t="s">
        <v>2199</v>
      </c>
    </row>
    <row r="528" spans="9:31" x14ac:dyDescent="0.25">
      <c r="I528">
        <v>79</v>
      </c>
      <c r="J528" t="s">
        <v>1020</v>
      </c>
      <c r="K528" t="s">
        <v>1021</v>
      </c>
      <c r="L528">
        <v>22</v>
      </c>
      <c r="M528" s="12">
        <v>84.78</v>
      </c>
      <c r="N528" s="2">
        <v>38502.019918981481</v>
      </c>
      <c r="O528" s="12"/>
      <c r="AC528" s="11" t="s">
        <v>1257</v>
      </c>
      <c r="AD528" s="11" t="s">
        <v>1463</v>
      </c>
      <c r="AE528" s="11" t="s">
        <v>2200</v>
      </c>
    </row>
    <row r="529" spans="9:31" x14ac:dyDescent="0.25">
      <c r="I529">
        <v>394</v>
      </c>
      <c r="J529" t="s">
        <v>1039</v>
      </c>
      <c r="K529" t="s">
        <v>1040</v>
      </c>
      <c r="L529">
        <v>22</v>
      </c>
      <c r="M529" s="12">
        <v>84.78</v>
      </c>
      <c r="N529" s="2">
        <v>38498.363981481481</v>
      </c>
      <c r="O529" s="12"/>
      <c r="AC529" s="11" t="s">
        <v>2201</v>
      </c>
      <c r="AD529" s="11" t="s">
        <v>1459</v>
      </c>
      <c r="AE529" s="11" t="s">
        <v>1602</v>
      </c>
    </row>
    <row r="530" spans="9:31" x14ac:dyDescent="0.25">
      <c r="I530">
        <v>62</v>
      </c>
      <c r="J530" t="s">
        <v>925</v>
      </c>
      <c r="K530" t="s">
        <v>926</v>
      </c>
      <c r="L530">
        <v>23</v>
      </c>
      <c r="M530" s="12">
        <v>84.77</v>
      </c>
      <c r="N530" s="2">
        <v>38502.287824074076</v>
      </c>
      <c r="O530" s="12"/>
      <c r="AC530" s="11" t="s">
        <v>1239</v>
      </c>
      <c r="AD530" s="11" t="s">
        <v>1423</v>
      </c>
      <c r="AE530" s="11" t="s">
        <v>2202</v>
      </c>
    </row>
    <row r="531" spans="9:31" x14ac:dyDescent="0.25">
      <c r="I531">
        <v>185</v>
      </c>
      <c r="J531" t="s">
        <v>944</v>
      </c>
      <c r="K531" t="s">
        <v>945</v>
      </c>
      <c r="L531">
        <v>23</v>
      </c>
      <c r="M531" s="12">
        <v>84.77</v>
      </c>
      <c r="N531" s="2">
        <v>38497.075474537036</v>
      </c>
      <c r="O531" s="12"/>
      <c r="AC531" s="11" t="s">
        <v>1243</v>
      </c>
      <c r="AD531" s="11" t="s">
        <v>1472</v>
      </c>
      <c r="AE531" s="11" t="s">
        <v>1987</v>
      </c>
    </row>
    <row r="532" spans="9:31" x14ac:dyDescent="0.25">
      <c r="I532">
        <v>140</v>
      </c>
      <c r="J532" t="s">
        <v>1174</v>
      </c>
      <c r="K532" t="s">
        <v>1175</v>
      </c>
      <c r="L532">
        <v>18</v>
      </c>
      <c r="M532" s="12">
        <v>83.82</v>
      </c>
      <c r="N532" s="2">
        <v>38519.202291666668</v>
      </c>
      <c r="O532" s="12"/>
      <c r="AC532" s="11" t="s">
        <v>1249</v>
      </c>
      <c r="AD532" s="11" t="s">
        <v>1461</v>
      </c>
      <c r="AE532" s="11" t="s">
        <v>2203</v>
      </c>
    </row>
    <row r="533" spans="9:31" x14ac:dyDescent="0.25">
      <c r="I533">
        <v>599</v>
      </c>
      <c r="J533" t="s">
        <v>122</v>
      </c>
      <c r="K533" t="s">
        <v>1166</v>
      </c>
      <c r="L533">
        <v>19</v>
      </c>
      <c r="M533" s="12">
        <v>83.81</v>
      </c>
      <c r="N533" s="2">
        <v>38503.054814814815</v>
      </c>
      <c r="O533" s="12"/>
      <c r="AC533" s="11" t="s">
        <v>2204</v>
      </c>
      <c r="AD533" s="11" t="s">
        <v>1413</v>
      </c>
      <c r="AE533" s="11" t="s">
        <v>1726</v>
      </c>
    </row>
    <row r="534" spans="9:31" x14ac:dyDescent="0.25">
      <c r="I534">
        <v>152</v>
      </c>
      <c r="J534" t="s">
        <v>1075</v>
      </c>
      <c r="K534" t="s">
        <v>1076</v>
      </c>
      <c r="L534">
        <v>21</v>
      </c>
      <c r="M534" s="12">
        <v>83.79</v>
      </c>
      <c r="N534" s="2">
        <v>38499.283715277779</v>
      </c>
      <c r="O534" s="12"/>
      <c r="AC534" s="11" t="s">
        <v>2205</v>
      </c>
      <c r="AD534" s="11" t="s">
        <v>1418</v>
      </c>
      <c r="AE534" s="11" t="s">
        <v>1926</v>
      </c>
    </row>
    <row r="535" spans="9:31" x14ac:dyDescent="0.25">
      <c r="I535">
        <v>556</v>
      </c>
      <c r="J535" t="s">
        <v>1114</v>
      </c>
      <c r="K535" t="s">
        <v>1115</v>
      </c>
      <c r="L535">
        <v>21</v>
      </c>
      <c r="M535" s="12">
        <v>83.79</v>
      </c>
      <c r="N535" s="2">
        <v>38498.229039351849</v>
      </c>
      <c r="O535" s="12"/>
      <c r="AC535" s="11" t="s">
        <v>2206</v>
      </c>
      <c r="AD535" s="11" t="s">
        <v>1429</v>
      </c>
      <c r="AE535" s="11" t="s">
        <v>2207</v>
      </c>
    </row>
    <row r="536" spans="9:31" x14ac:dyDescent="0.25">
      <c r="I536">
        <v>598</v>
      </c>
      <c r="J536" t="s">
        <v>98</v>
      </c>
      <c r="K536" t="s">
        <v>1065</v>
      </c>
      <c r="L536">
        <v>22</v>
      </c>
      <c r="M536" s="12">
        <v>83.78</v>
      </c>
      <c r="N536" s="2">
        <v>38523.423946759256</v>
      </c>
      <c r="O536" s="12"/>
      <c r="AC536" s="11" t="s">
        <v>2208</v>
      </c>
      <c r="AD536" s="11" t="s">
        <v>1455</v>
      </c>
      <c r="AE536" s="11" t="s">
        <v>1451</v>
      </c>
    </row>
    <row r="537" spans="9:31" x14ac:dyDescent="0.25">
      <c r="I537">
        <v>118</v>
      </c>
      <c r="J537" t="s">
        <v>952</v>
      </c>
      <c r="K537" t="s">
        <v>1074</v>
      </c>
      <c r="L537">
        <v>21</v>
      </c>
      <c r="M537" s="12">
        <v>82.79</v>
      </c>
      <c r="N537" s="2">
        <v>38499.235451388886</v>
      </c>
      <c r="O537" s="12"/>
      <c r="AC537" s="11" t="s">
        <v>2209</v>
      </c>
      <c r="AD537" s="11" t="s">
        <v>1450</v>
      </c>
      <c r="AE537" s="11" t="s">
        <v>2210</v>
      </c>
    </row>
    <row r="538" spans="9:31" x14ac:dyDescent="0.25">
      <c r="I538">
        <v>543</v>
      </c>
      <c r="J538" t="s">
        <v>1057</v>
      </c>
      <c r="K538" t="s">
        <v>1058</v>
      </c>
      <c r="L538">
        <v>22</v>
      </c>
      <c r="M538" s="12">
        <v>82.78</v>
      </c>
      <c r="N538" s="2">
        <v>38498.545891203707</v>
      </c>
      <c r="O538" s="12"/>
      <c r="AC538" s="11" t="s">
        <v>2211</v>
      </c>
      <c r="AD538" s="11" t="s">
        <v>1398</v>
      </c>
      <c r="AE538" s="11" t="s">
        <v>2203</v>
      </c>
    </row>
    <row r="539" spans="9:31" x14ac:dyDescent="0.25">
      <c r="I539">
        <v>243</v>
      </c>
      <c r="J539" t="s">
        <v>883</v>
      </c>
      <c r="K539" t="s">
        <v>884</v>
      </c>
      <c r="L539">
        <v>24</v>
      </c>
      <c r="M539" s="12">
        <v>82.76</v>
      </c>
      <c r="N539" s="2">
        <v>38498.241111111114</v>
      </c>
      <c r="O539" s="12"/>
      <c r="AC539" s="11" t="s">
        <v>2212</v>
      </c>
      <c r="AD539" s="11" t="s">
        <v>1474</v>
      </c>
      <c r="AE539" s="11" t="s">
        <v>2213</v>
      </c>
    </row>
    <row r="540" spans="9:31" x14ac:dyDescent="0.25">
      <c r="I540">
        <v>4</v>
      </c>
      <c r="J540" t="s">
        <v>1007</v>
      </c>
      <c r="K540" t="s">
        <v>1008</v>
      </c>
      <c r="L540">
        <v>22</v>
      </c>
      <c r="M540" s="12">
        <v>81.78</v>
      </c>
      <c r="N540" s="2">
        <v>38518.396851851852</v>
      </c>
      <c r="O540" s="12"/>
      <c r="AC540" s="11" t="s">
        <v>2214</v>
      </c>
      <c r="AD540" s="11" t="s">
        <v>1472</v>
      </c>
      <c r="AE540" s="11" t="s">
        <v>1531</v>
      </c>
    </row>
    <row r="541" spans="9:31" x14ac:dyDescent="0.25">
      <c r="I541">
        <v>527</v>
      </c>
      <c r="J541" t="s">
        <v>904</v>
      </c>
      <c r="K541" t="s">
        <v>905</v>
      </c>
      <c r="L541">
        <v>24</v>
      </c>
      <c r="M541" s="12">
        <v>81.760000000000005</v>
      </c>
      <c r="N541" s="2">
        <v>38518.686597222222</v>
      </c>
      <c r="O541" s="12"/>
      <c r="AC541" s="11" t="s">
        <v>1254</v>
      </c>
      <c r="AD541" s="11" t="s">
        <v>1433</v>
      </c>
      <c r="AE541" s="11" t="s">
        <v>2215</v>
      </c>
    </row>
    <row r="542" spans="9:31" x14ac:dyDescent="0.25">
      <c r="I542">
        <v>223</v>
      </c>
      <c r="J542" t="s">
        <v>1195</v>
      </c>
      <c r="K542" t="s">
        <v>1196</v>
      </c>
      <c r="L542">
        <v>17</v>
      </c>
      <c r="M542" s="12">
        <v>80.83</v>
      </c>
      <c r="N542" s="2">
        <v>38500.164907407408</v>
      </c>
      <c r="O542" s="12"/>
      <c r="AC542" s="11" t="s">
        <v>2216</v>
      </c>
      <c r="AD542" s="11" t="s">
        <v>1398</v>
      </c>
      <c r="AE542" s="11" t="s">
        <v>1460</v>
      </c>
    </row>
    <row r="543" spans="9:31" x14ac:dyDescent="0.25">
      <c r="I543">
        <v>70</v>
      </c>
      <c r="J543" t="s">
        <v>1167</v>
      </c>
      <c r="K543" t="s">
        <v>1168</v>
      </c>
      <c r="L543">
        <v>18</v>
      </c>
      <c r="M543" s="12">
        <v>80.819999999999993</v>
      </c>
      <c r="N543" s="2">
        <v>38503.267175925925</v>
      </c>
      <c r="O543" s="12"/>
      <c r="AC543" s="11" t="s">
        <v>2217</v>
      </c>
      <c r="AD543" s="11" t="s">
        <v>1446</v>
      </c>
      <c r="AE543" s="11" t="s">
        <v>1491</v>
      </c>
    </row>
    <row r="544" spans="9:31" x14ac:dyDescent="0.25">
      <c r="I544">
        <v>205</v>
      </c>
      <c r="J544" t="s">
        <v>1178</v>
      </c>
      <c r="K544" t="s">
        <v>1179</v>
      </c>
      <c r="L544">
        <v>18</v>
      </c>
      <c r="M544" s="12">
        <v>80.819999999999993</v>
      </c>
      <c r="N544" s="2">
        <v>38518.200787037036</v>
      </c>
      <c r="O544" s="12"/>
      <c r="AC544" s="11" t="s">
        <v>2218</v>
      </c>
      <c r="AD544" s="11" t="s">
        <v>1459</v>
      </c>
      <c r="AE544" s="11" t="s">
        <v>2219</v>
      </c>
    </row>
    <row r="545" spans="9:31" x14ac:dyDescent="0.25">
      <c r="I545">
        <v>358</v>
      </c>
      <c r="J545" t="s">
        <v>1090</v>
      </c>
      <c r="K545" t="s">
        <v>1091</v>
      </c>
      <c r="L545">
        <v>21</v>
      </c>
      <c r="M545" s="12">
        <v>80.790000000000006</v>
      </c>
      <c r="N545" s="2">
        <v>38502.090648148151</v>
      </c>
      <c r="O545" s="12"/>
      <c r="AC545" s="11" t="s">
        <v>2220</v>
      </c>
      <c r="AD545" s="11" t="s">
        <v>1457</v>
      </c>
      <c r="AE545" s="11" t="s">
        <v>1464</v>
      </c>
    </row>
    <row r="546" spans="9:31" x14ac:dyDescent="0.25">
      <c r="I546">
        <v>521</v>
      </c>
      <c r="J546" t="s">
        <v>1000</v>
      </c>
      <c r="K546" t="s">
        <v>1001</v>
      </c>
      <c r="L546">
        <v>23</v>
      </c>
      <c r="M546" s="12">
        <v>80.77</v>
      </c>
      <c r="N546" s="2">
        <v>38519.743020833332</v>
      </c>
      <c r="O546" s="12"/>
      <c r="AC546" s="11" t="s">
        <v>1245</v>
      </c>
      <c r="AD546" s="11" t="s">
        <v>1446</v>
      </c>
      <c r="AE546" s="11" t="s">
        <v>1554</v>
      </c>
    </row>
    <row r="547" spans="9:31" x14ac:dyDescent="0.25">
      <c r="I547">
        <v>288</v>
      </c>
      <c r="J547" t="s">
        <v>887</v>
      </c>
      <c r="K547" t="s">
        <v>404</v>
      </c>
      <c r="L547">
        <v>24</v>
      </c>
      <c r="M547" s="12">
        <v>80.760000000000005</v>
      </c>
      <c r="N547" s="2">
        <v>38497.662685185183</v>
      </c>
      <c r="O547" s="12"/>
      <c r="AC547" s="11" t="s">
        <v>1238</v>
      </c>
      <c r="AD547" s="11" t="s">
        <v>1466</v>
      </c>
      <c r="AE547" s="11" t="s">
        <v>2221</v>
      </c>
    </row>
    <row r="548" spans="9:31" x14ac:dyDescent="0.25">
      <c r="I548">
        <v>411</v>
      </c>
      <c r="J548" t="s">
        <v>725</v>
      </c>
      <c r="K548" t="s">
        <v>726</v>
      </c>
      <c r="L548">
        <v>26</v>
      </c>
      <c r="M548" s="12">
        <v>80.739999999999995</v>
      </c>
      <c r="N548" s="2">
        <v>38501.018865740742</v>
      </c>
      <c r="O548" s="12"/>
      <c r="AC548" s="11" t="s">
        <v>2222</v>
      </c>
      <c r="AD548" s="11" t="s">
        <v>1443</v>
      </c>
      <c r="AE548" s="11" t="s">
        <v>1644</v>
      </c>
    </row>
    <row r="549" spans="9:31" x14ac:dyDescent="0.25">
      <c r="I549">
        <v>548</v>
      </c>
      <c r="J549" t="s">
        <v>1162</v>
      </c>
      <c r="K549" t="s">
        <v>1163</v>
      </c>
      <c r="L549">
        <v>19</v>
      </c>
      <c r="M549" s="12">
        <v>79.81</v>
      </c>
      <c r="N549" s="2">
        <v>38498.176724537036</v>
      </c>
      <c r="O549" s="12"/>
      <c r="AC549" s="11" t="s">
        <v>2223</v>
      </c>
      <c r="AD549" s="11" t="s">
        <v>1469</v>
      </c>
      <c r="AE549" s="11" t="s">
        <v>1571</v>
      </c>
    </row>
    <row r="550" spans="9:31" x14ac:dyDescent="0.25">
      <c r="I550">
        <v>402</v>
      </c>
      <c r="J550" t="s">
        <v>1134</v>
      </c>
      <c r="K550" t="s">
        <v>1135</v>
      </c>
      <c r="L550">
        <v>20</v>
      </c>
      <c r="M550" s="12">
        <v>79.8</v>
      </c>
      <c r="N550" s="2">
        <v>38501.733217592591</v>
      </c>
      <c r="O550" s="12"/>
      <c r="AC550" s="11" t="s">
        <v>1258</v>
      </c>
      <c r="AD550" s="11" t="s">
        <v>1418</v>
      </c>
      <c r="AE550" s="11" t="s">
        <v>2224</v>
      </c>
    </row>
    <row r="551" spans="9:31" x14ac:dyDescent="0.25">
      <c r="I551">
        <v>94</v>
      </c>
      <c r="J551" t="s">
        <v>1072</v>
      </c>
      <c r="K551" t="s">
        <v>1073</v>
      </c>
      <c r="L551">
        <v>21</v>
      </c>
      <c r="M551" s="12">
        <v>79.790000000000006</v>
      </c>
      <c r="N551" s="2">
        <v>38497.882407407407</v>
      </c>
      <c r="O551" s="12"/>
      <c r="AC551" s="11" t="s">
        <v>2225</v>
      </c>
      <c r="AD551" s="11" t="s">
        <v>1413</v>
      </c>
      <c r="AE551" s="11" t="s">
        <v>1630</v>
      </c>
    </row>
    <row r="552" spans="9:31" x14ac:dyDescent="0.25">
      <c r="I552">
        <v>420</v>
      </c>
      <c r="J552" t="s">
        <v>1099</v>
      </c>
      <c r="K552" t="s">
        <v>1057</v>
      </c>
      <c r="L552">
        <v>21</v>
      </c>
      <c r="M552" s="12">
        <v>79.790000000000006</v>
      </c>
      <c r="N552" s="2">
        <v>38501.384120370371</v>
      </c>
      <c r="O552" s="12"/>
      <c r="AC552" s="11" t="s">
        <v>2226</v>
      </c>
      <c r="AD552" s="11" t="s">
        <v>1466</v>
      </c>
      <c r="AE552" s="11" t="s">
        <v>2227</v>
      </c>
    </row>
    <row r="553" spans="9:31" x14ac:dyDescent="0.25">
      <c r="I553">
        <v>430</v>
      </c>
      <c r="J553" t="s">
        <v>449</v>
      </c>
      <c r="K553" t="s">
        <v>1041</v>
      </c>
      <c r="L553">
        <v>22</v>
      </c>
      <c r="M553" s="12">
        <v>79.78</v>
      </c>
      <c r="N553" s="2">
        <v>38497.167731481481</v>
      </c>
      <c r="O553" s="12"/>
      <c r="AC553" s="11" t="s">
        <v>2228</v>
      </c>
      <c r="AD553" s="11" t="s">
        <v>1472</v>
      </c>
      <c r="AE553" s="11" t="s">
        <v>2229</v>
      </c>
    </row>
    <row r="554" spans="9:31" x14ac:dyDescent="0.25">
      <c r="I554">
        <v>398</v>
      </c>
      <c r="J554" t="s">
        <v>1205</v>
      </c>
      <c r="K554" t="s">
        <v>1206</v>
      </c>
      <c r="L554">
        <v>16</v>
      </c>
      <c r="M554" s="12">
        <v>78.84</v>
      </c>
      <c r="N554" s="2">
        <v>38499.993888888886</v>
      </c>
      <c r="O554" s="12"/>
      <c r="AC554" s="11" t="s">
        <v>2230</v>
      </c>
      <c r="AD554" s="11" t="s">
        <v>1429</v>
      </c>
      <c r="AE554" s="11" t="s">
        <v>2231</v>
      </c>
    </row>
    <row r="555" spans="9:31" x14ac:dyDescent="0.25">
      <c r="I555">
        <v>428</v>
      </c>
      <c r="J555" t="s">
        <v>1136</v>
      </c>
      <c r="K555" t="s">
        <v>1137</v>
      </c>
      <c r="L555">
        <v>20</v>
      </c>
      <c r="M555" s="12">
        <v>78.8</v>
      </c>
      <c r="N555" s="2">
        <v>38500.736516203702</v>
      </c>
      <c r="O555" s="12"/>
      <c r="AC555" s="11" t="s">
        <v>2232</v>
      </c>
      <c r="AD555" s="11" t="s">
        <v>1446</v>
      </c>
      <c r="AE555" s="11" t="s">
        <v>1598</v>
      </c>
    </row>
    <row r="556" spans="9:31" x14ac:dyDescent="0.25">
      <c r="I556">
        <v>335</v>
      </c>
      <c r="J556" t="s">
        <v>543</v>
      </c>
      <c r="K556" t="s">
        <v>965</v>
      </c>
      <c r="L556">
        <v>23</v>
      </c>
      <c r="M556" s="12">
        <v>78.77</v>
      </c>
      <c r="N556" s="2">
        <v>38524.389247685183</v>
      </c>
      <c r="O556" s="12"/>
      <c r="AC556" s="11" t="s">
        <v>2233</v>
      </c>
      <c r="AD556" s="11" t="s">
        <v>1466</v>
      </c>
      <c r="AE556" s="11" t="s">
        <v>2234</v>
      </c>
    </row>
    <row r="557" spans="9:31" x14ac:dyDescent="0.25">
      <c r="I557">
        <v>95</v>
      </c>
      <c r="J557" t="s">
        <v>1169</v>
      </c>
      <c r="K557" t="s">
        <v>1170</v>
      </c>
      <c r="L557">
        <v>18</v>
      </c>
      <c r="M557" s="12">
        <v>77.819999999999993</v>
      </c>
      <c r="N557" s="2">
        <v>38500.006898148145</v>
      </c>
      <c r="O557" s="12"/>
      <c r="AC557" s="11" t="s">
        <v>2235</v>
      </c>
      <c r="AD557" s="11" t="s">
        <v>1433</v>
      </c>
      <c r="AE557" s="11" t="s">
        <v>2236</v>
      </c>
    </row>
    <row r="558" spans="9:31" x14ac:dyDescent="0.25">
      <c r="I558">
        <v>549</v>
      </c>
      <c r="J558" t="s">
        <v>437</v>
      </c>
      <c r="K558" t="s">
        <v>1142</v>
      </c>
      <c r="L558">
        <v>20</v>
      </c>
      <c r="M558" s="12">
        <v>77.8</v>
      </c>
      <c r="N558" s="2">
        <v>38496.963969907411</v>
      </c>
      <c r="O558" s="12"/>
      <c r="AC558" s="11" t="s">
        <v>2237</v>
      </c>
      <c r="AD558" s="11" t="s">
        <v>1433</v>
      </c>
      <c r="AE558" s="11" t="s">
        <v>2238</v>
      </c>
    </row>
    <row r="559" spans="9:31" x14ac:dyDescent="0.25">
      <c r="I559">
        <v>76</v>
      </c>
      <c r="J559" t="s">
        <v>927</v>
      </c>
      <c r="K559" t="s">
        <v>928</v>
      </c>
      <c r="L559">
        <v>23</v>
      </c>
      <c r="M559" s="12">
        <v>77.77</v>
      </c>
      <c r="N559" s="2">
        <v>38500.447546296295</v>
      </c>
      <c r="O559" s="12"/>
      <c r="AC559" s="11" t="s">
        <v>1236</v>
      </c>
      <c r="AD559" s="11" t="s">
        <v>1474</v>
      </c>
      <c r="AE559" s="11" t="s">
        <v>1621</v>
      </c>
    </row>
    <row r="560" spans="9:31" x14ac:dyDescent="0.25">
      <c r="I560">
        <v>48</v>
      </c>
      <c r="J560" t="s">
        <v>1193</v>
      </c>
      <c r="K560" t="s">
        <v>1194</v>
      </c>
      <c r="L560">
        <v>17</v>
      </c>
      <c r="M560" s="12">
        <v>76.83</v>
      </c>
      <c r="N560" s="2">
        <v>38497.452928240738</v>
      </c>
      <c r="O560" s="12"/>
      <c r="AC560" s="11" t="s">
        <v>2239</v>
      </c>
      <c r="AD560" s="11" t="s">
        <v>1446</v>
      </c>
      <c r="AE560" s="11" t="s">
        <v>1825</v>
      </c>
    </row>
    <row r="561" spans="9:31" x14ac:dyDescent="0.25">
      <c r="I561">
        <v>224</v>
      </c>
      <c r="J561" t="s">
        <v>1028</v>
      </c>
      <c r="K561" t="s">
        <v>1029</v>
      </c>
      <c r="L561">
        <v>22</v>
      </c>
      <c r="M561" s="12">
        <v>76.78</v>
      </c>
      <c r="N561" s="2">
        <v>38518.75571759259</v>
      </c>
      <c r="O561" s="12"/>
      <c r="AC561" s="11" t="s">
        <v>2240</v>
      </c>
      <c r="AD561" s="11" t="s">
        <v>1459</v>
      </c>
      <c r="AE561" s="11" t="s">
        <v>1491</v>
      </c>
    </row>
    <row r="562" spans="9:31" x14ac:dyDescent="0.25">
      <c r="I562">
        <v>183</v>
      </c>
      <c r="J562" t="s">
        <v>940</v>
      </c>
      <c r="K562" t="s">
        <v>941</v>
      </c>
      <c r="L562">
        <v>23</v>
      </c>
      <c r="M562" s="12">
        <v>76.77</v>
      </c>
      <c r="N562" s="2">
        <v>38499.425000000003</v>
      </c>
      <c r="O562" s="12"/>
      <c r="AC562" s="11" t="s">
        <v>1253</v>
      </c>
      <c r="AD562" s="11" t="s">
        <v>1435</v>
      </c>
      <c r="AE562" s="11" t="s">
        <v>2241</v>
      </c>
    </row>
    <row r="563" spans="9:31" x14ac:dyDescent="0.25">
      <c r="I563">
        <v>530</v>
      </c>
      <c r="J563" t="s">
        <v>1002</v>
      </c>
      <c r="K563" t="s">
        <v>1003</v>
      </c>
      <c r="L563">
        <v>23</v>
      </c>
      <c r="M563" s="12">
        <v>76.77</v>
      </c>
      <c r="N563" s="2">
        <v>38502.066145833334</v>
      </c>
      <c r="O563" s="12"/>
      <c r="AC563" s="11" t="s">
        <v>1251</v>
      </c>
      <c r="AD563" s="11" t="s">
        <v>1448</v>
      </c>
      <c r="AE563" s="11" t="s">
        <v>1449</v>
      </c>
    </row>
    <row r="564" spans="9:31" x14ac:dyDescent="0.25">
      <c r="I564">
        <v>413</v>
      </c>
      <c r="J564" t="s">
        <v>1097</v>
      </c>
      <c r="K564" t="s">
        <v>1098</v>
      </c>
      <c r="L564">
        <v>21</v>
      </c>
      <c r="M564" s="12">
        <v>75.790000000000006</v>
      </c>
      <c r="N564" s="2">
        <v>38497.214629629627</v>
      </c>
      <c r="O564" s="12"/>
      <c r="AC564" s="11" t="s">
        <v>2242</v>
      </c>
      <c r="AD564" s="11" t="s">
        <v>1446</v>
      </c>
      <c r="AE564" s="11" t="s">
        <v>2034</v>
      </c>
    </row>
    <row r="565" spans="9:31" x14ac:dyDescent="0.25">
      <c r="I565">
        <v>555</v>
      </c>
      <c r="J565" t="s">
        <v>1201</v>
      </c>
      <c r="K565" t="s">
        <v>1202</v>
      </c>
      <c r="L565">
        <v>17</v>
      </c>
      <c r="M565" s="12">
        <v>74.83</v>
      </c>
      <c r="N565" s="2">
        <v>38524.104594907411</v>
      </c>
      <c r="O565" s="12"/>
      <c r="AC565" s="11" t="s">
        <v>1233</v>
      </c>
      <c r="AD565" s="11" t="s">
        <v>1423</v>
      </c>
      <c r="AE565" s="11" t="s">
        <v>2243</v>
      </c>
    </row>
    <row r="566" spans="9:31" x14ac:dyDescent="0.25">
      <c r="I566">
        <v>525</v>
      </c>
      <c r="J566" t="s">
        <v>1160</v>
      </c>
      <c r="K566" t="s">
        <v>1161</v>
      </c>
      <c r="L566">
        <v>19</v>
      </c>
      <c r="M566" s="12">
        <v>74.81</v>
      </c>
      <c r="N566" s="2">
        <v>38499.741226851853</v>
      </c>
      <c r="O566" s="12"/>
      <c r="AC566" s="11" t="s">
        <v>2244</v>
      </c>
      <c r="AD566" s="11" t="s">
        <v>1463</v>
      </c>
      <c r="AE566" s="11" t="s">
        <v>2207</v>
      </c>
    </row>
    <row r="567" spans="9:31" x14ac:dyDescent="0.25">
      <c r="I567">
        <v>191</v>
      </c>
      <c r="J567" t="s">
        <v>1120</v>
      </c>
      <c r="K567" t="s">
        <v>1121</v>
      </c>
      <c r="L567">
        <v>20</v>
      </c>
      <c r="M567" s="12">
        <v>74.8</v>
      </c>
      <c r="N567" s="2">
        <v>38503.801562499997</v>
      </c>
      <c r="O567" s="12"/>
      <c r="AC567" s="11" t="s">
        <v>2245</v>
      </c>
      <c r="AD567" s="11" t="s">
        <v>1455</v>
      </c>
      <c r="AE567" s="11" t="s">
        <v>2246</v>
      </c>
    </row>
    <row r="568" spans="9:31" x14ac:dyDescent="0.25">
      <c r="I568">
        <v>514</v>
      </c>
      <c r="J568" t="s">
        <v>786</v>
      </c>
      <c r="K568" t="s">
        <v>1053</v>
      </c>
      <c r="L568">
        <v>22</v>
      </c>
      <c r="M568" s="12">
        <v>74.78</v>
      </c>
      <c r="N568" s="2">
        <v>38500.262187499997</v>
      </c>
      <c r="O568" s="12"/>
      <c r="AC568" s="11" t="s">
        <v>2247</v>
      </c>
      <c r="AD568" s="11" t="s">
        <v>1455</v>
      </c>
      <c r="AE568" s="11" t="s">
        <v>1738</v>
      </c>
    </row>
    <row r="569" spans="9:31" x14ac:dyDescent="0.25">
      <c r="I569">
        <v>464</v>
      </c>
      <c r="J569" t="s">
        <v>1207</v>
      </c>
      <c r="K569" t="s">
        <v>1208</v>
      </c>
      <c r="L569">
        <v>16</v>
      </c>
      <c r="M569" s="12">
        <v>73.84</v>
      </c>
      <c r="N569" s="2">
        <v>38498.8903587963</v>
      </c>
      <c r="O569" s="12"/>
      <c r="AC569" s="11" t="s">
        <v>2248</v>
      </c>
      <c r="AD569" s="11" t="s">
        <v>1433</v>
      </c>
      <c r="AE569" s="11" t="s">
        <v>1770</v>
      </c>
    </row>
    <row r="570" spans="9:31" x14ac:dyDescent="0.25">
      <c r="I570">
        <v>124</v>
      </c>
      <c r="J570" t="s">
        <v>1172</v>
      </c>
      <c r="K570" t="s">
        <v>1173</v>
      </c>
      <c r="L570">
        <v>18</v>
      </c>
      <c r="M570" s="12">
        <v>73.819999999999993</v>
      </c>
      <c r="N570" s="2">
        <v>38501.557939814818</v>
      </c>
      <c r="O570" s="12"/>
      <c r="AC570" s="11" t="s">
        <v>2249</v>
      </c>
      <c r="AD570" s="11" t="s">
        <v>1459</v>
      </c>
      <c r="AE570" s="11" t="s">
        <v>1467</v>
      </c>
    </row>
    <row r="571" spans="9:31" x14ac:dyDescent="0.25">
      <c r="I571">
        <v>344</v>
      </c>
      <c r="J571" t="s">
        <v>602</v>
      </c>
      <c r="K571" t="s">
        <v>1186</v>
      </c>
      <c r="L571">
        <v>18</v>
      </c>
      <c r="M571" s="12">
        <v>73.819999999999993</v>
      </c>
      <c r="N571" s="2">
        <v>38498.059270833335</v>
      </c>
      <c r="O571" s="12"/>
      <c r="AC571" s="11" t="s">
        <v>2250</v>
      </c>
      <c r="AD571" s="11" t="s">
        <v>1455</v>
      </c>
      <c r="AE571" s="11" t="s">
        <v>1669</v>
      </c>
    </row>
    <row r="572" spans="9:31" x14ac:dyDescent="0.25">
      <c r="I572">
        <v>250</v>
      </c>
      <c r="J572" t="s">
        <v>1125</v>
      </c>
      <c r="K572" t="s">
        <v>1126</v>
      </c>
      <c r="L572">
        <v>20</v>
      </c>
      <c r="M572" s="12">
        <v>73.8</v>
      </c>
      <c r="N572" s="2">
        <v>38497.376354166663</v>
      </c>
      <c r="O572" s="12"/>
      <c r="AC572" s="11" t="s">
        <v>2251</v>
      </c>
      <c r="AD572" s="11" t="s">
        <v>1466</v>
      </c>
      <c r="AE572" s="11" t="s">
        <v>1660</v>
      </c>
    </row>
    <row r="573" spans="9:31" x14ac:dyDescent="0.25">
      <c r="I573">
        <v>401</v>
      </c>
      <c r="J573" t="s">
        <v>1094</v>
      </c>
      <c r="K573" t="s">
        <v>1095</v>
      </c>
      <c r="L573">
        <v>21</v>
      </c>
      <c r="M573" s="12">
        <v>73.790000000000006</v>
      </c>
      <c r="N573" s="2">
        <v>38498.118414351855</v>
      </c>
      <c r="O573" s="12"/>
      <c r="AC573" s="11" t="s">
        <v>2252</v>
      </c>
      <c r="AD573" s="11" t="s">
        <v>1459</v>
      </c>
      <c r="AE573" s="11" t="s">
        <v>1958</v>
      </c>
    </row>
    <row r="574" spans="9:31" x14ac:dyDescent="0.25">
      <c r="I574">
        <v>350</v>
      </c>
      <c r="J574" t="s">
        <v>970</v>
      </c>
      <c r="K574" t="s">
        <v>971</v>
      </c>
      <c r="L574">
        <v>23</v>
      </c>
      <c r="M574" s="12">
        <v>73.77</v>
      </c>
      <c r="N574" s="2">
        <v>38497.120162037034</v>
      </c>
      <c r="O574" s="12"/>
      <c r="AC574" s="11" t="s">
        <v>2253</v>
      </c>
      <c r="AD574" s="11" t="s">
        <v>1403</v>
      </c>
      <c r="AE574" s="11" t="s">
        <v>2254</v>
      </c>
    </row>
    <row r="575" spans="9:31" x14ac:dyDescent="0.25">
      <c r="I575">
        <v>557</v>
      </c>
      <c r="J575" t="s">
        <v>914</v>
      </c>
      <c r="K575" t="s">
        <v>915</v>
      </c>
      <c r="L575">
        <v>24</v>
      </c>
      <c r="M575" s="12">
        <v>73.760000000000005</v>
      </c>
      <c r="N575" s="2">
        <v>38499.881979166668</v>
      </c>
      <c r="O575" s="12"/>
      <c r="AC575" s="11" t="s">
        <v>2255</v>
      </c>
      <c r="AD575" s="11" t="s">
        <v>1453</v>
      </c>
      <c r="AE575" s="11" t="s">
        <v>1599</v>
      </c>
    </row>
    <row r="576" spans="9:31" x14ac:dyDescent="0.25">
      <c r="I576">
        <v>353</v>
      </c>
      <c r="J576" t="s">
        <v>1187</v>
      </c>
      <c r="K576" t="s">
        <v>1188</v>
      </c>
      <c r="L576">
        <v>18</v>
      </c>
      <c r="M576" s="12">
        <v>72.819999999999993</v>
      </c>
      <c r="N576" s="2">
        <v>38503.600208333337</v>
      </c>
      <c r="O576" s="12"/>
      <c r="AC576" s="11" t="s">
        <v>1244</v>
      </c>
      <c r="AD576" s="11" t="s">
        <v>1466</v>
      </c>
      <c r="AE576" s="11" t="s">
        <v>2221</v>
      </c>
    </row>
    <row r="577" spans="9:31" x14ac:dyDescent="0.25">
      <c r="I577">
        <v>355</v>
      </c>
      <c r="J577" t="s">
        <v>452</v>
      </c>
      <c r="K577" t="s">
        <v>1133</v>
      </c>
      <c r="L577">
        <v>20</v>
      </c>
      <c r="M577" s="12">
        <v>72.8</v>
      </c>
      <c r="N577" s="2">
        <v>38503.640868055554</v>
      </c>
      <c r="O577" s="12"/>
      <c r="AC577" s="11" t="s">
        <v>2256</v>
      </c>
      <c r="AD577" s="11" t="s">
        <v>1455</v>
      </c>
      <c r="AE577" s="11" t="s">
        <v>1465</v>
      </c>
    </row>
    <row r="578" spans="9:31" x14ac:dyDescent="0.25">
      <c r="I578">
        <v>117</v>
      </c>
      <c r="J578" t="s">
        <v>1145</v>
      </c>
      <c r="K578" t="s">
        <v>1146</v>
      </c>
      <c r="L578">
        <v>19</v>
      </c>
      <c r="M578" s="12">
        <v>71.81</v>
      </c>
      <c r="N578" s="2">
        <v>38501.096458333333</v>
      </c>
      <c r="O578" s="12"/>
      <c r="AC578" s="11" t="s">
        <v>1252</v>
      </c>
      <c r="AD578" s="11" t="s">
        <v>1470</v>
      </c>
      <c r="AE578" s="11" t="s">
        <v>1491</v>
      </c>
    </row>
    <row r="579" spans="9:31" x14ac:dyDescent="0.25">
      <c r="I579">
        <v>378</v>
      </c>
      <c r="J579" t="s">
        <v>1151</v>
      </c>
      <c r="K579" t="s">
        <v>1152</v>
      </c>
      <c r="L579">
        <v>19</v>
      </c>
      <c r="M579" s="12">
        <v>71.81</v>
      </c>
      <c r="N579" s="2">
        <v>38499.194826388892</v>
      </c>
      <c r="O579" s="12"/>
      <c r="AC579" s="11" t="s">
        <v>2257</v>
      </c>
      <c r="AD579" s="11" t="s">
        <v>1469</v>
      </c>
      <c r="AE579" s="11" t="s">
        <v>1559</v>
      </c>
    </row>
    <row r="580" spans="9:31" x14ac:dyDescent="0.25">
      <c r="I580">
        <v>162</v>
      </c>
      <c r="J580" t="s">
        <v>1118</v>
      </c>
      <c r="K580" t="s">
        <v>1119</v>
      </c>
      <c r="L580">
        <v>20</v>
      </c>
      <c r="M580" s="12">
        <v>71.8</v>
      </c>
      <c r="N580" s="2">
        <v>38498.820601851854</v>
      </c>
      <c r="O580" s="12"/>
      <c r="AC580" s="11" t="s">
        <v>2258</v>
      </c>
      <c r="AD580" s="11" t="s">
        <v>1469</v>
      </c>
      <c r="AE580" s="11" t="s">
        <v>1598</v>
      </c>
    </row>
    <row r="581" spans="9:31" x14ac:dyDescent="0.25">
      <c r="I581">
        <v>320</v>
      </c>
      <c r="J581" t="s">
        <v>1131</v>
      </c>
      <c r="K581" t="s">
        <v>1132</v>
      </c>
      <c r="L581">
        <v>20</v>
      </c>
      <c r="M581" s="12">
        <v>71.8</v>
      </c>
      <c r="N581" s="2">
        <v>38518.264930555553</v>
      </c>
      <c r="O581" s="12"/>
      <c r="AC581" s="11" t="s">
        <v>2259</v>
      </c>
      <c r="AD581" s="11" t="s">
        <v>1453</v>
      </c>
      <c r="AE581" s="11" t="s">
        <v>1678</v>
      </c>
    </row>
    <row r="582" spans="9:31" x14ac:dyDescent="0.25">
      <c r="I582">
        <v>177</v>
      </c>
      <c r="J582" t="s">
        <v>936</v>
      </c>
      <c r="K582" t="s">
        <v>937</v>
      </c>
      <c r="L582">
        <v>23</v>
      </c>
      <c r="M582" s="12">
        <v>71.77</v>
      </c>
      <c r="N582" s="2">
        <v>38518.675578703704</v>
      </c>
      <c r="O582" s="12"/>
      <c r="AC582" s="11" t="s">
        <v>2260</v>
      </c>
      <c r="AD582" s="11" t="s">
        <v>1410</v>
      </c>
      <c r="AE582" s="11" t="s">
        <v>2261</v>
      </c>
    </row>
    <row r="583" spans="9:31" x14ac:dyDescent="0.25">
      <c r="I583">
        <v>255</v>
      </c>
      <c r="J583" t="s">
        <v>1182</v>
      </c>
      <c r="K583" t="s">
        <v>1183</v>
      </c>
      <c r="L583">
        <v>18</v>
      </c>
      <c r="M583" s="12">
        <v>70.819999999999993</v>
      </c>
      <c r="N583" s="2">
        <v>38518.188518518517</v>
      </c>
      <c r="O583" s="12"/>
      <c r="AC583" s="11" t="s">
        <v>2262</v>
      </c>
      <c r="AD583" s="11" t="s">
        <v>1466</v>
      </c>
      <c r="AE583" s="11" t="s">
        <v>2263</v>
      </c>
    </row>
    <row r="584" spans="9:31" x14ac:dyDescent="0.25">
      <c r="I584">
        <v>370</v>
      </c>
      <c r="J584" t="s">
        <v>1149</v>
      </c>
      <c r="K584" t="s">
        <v>1150</v>
      </c>
      <c r="L584">
        <v>19</v>
      </c>
      <c r="M584" s="12">
        <v>70.81</v>
      </c>
      <c r="N584" s="2">
        <v>38518.04550925926</v>
      </c>
      <c r="O584" s="12"/>
      <c r="AC584" s="11" t="s">
        <v>2264</v>
      </c>
      <c r="AD584" s="11" t="s">
        <v>1443</v>
      </c>
      <c r="AE584" s="11" t="s">
        <v>1644</v>
      </c>
    </row>
    <row r="585" spans="9:31" x14ac:dyDescent="0.25">
      <c r="I585">
        <v>465</v>
      </c>
      <c r="J585" t="s">
        <v>1199</v>
      </c>
      <c r="K585" t="s">
        <v>1200</v>
      </c>
      <c r="L585">
        <v>17</v>
      </c>
      <c r="M585" s="12">
        <v>69.83</v>
      </c>
      <c r="N585" s="2">
        <v>38500.780162037037</v>
      </c>
      <c r="O585" s="12"/>
      <c r="AC585" s="11" t="s">
        <v>2265</v>
      </c>
      <c r="AD585" s="11" t="s">
        <v>1469</v>
      </c>
      <c r="AE585" s="11" t="s">
        <v>2266</v>
      </c>
    </row>
    <row r="586" spans="9:31" x14ac:dyDescent="0.25">
      <c r="I586">
        <v>271</v>
      </c>
      <c r="J586" t="s">
        <v>1184</v>
      </c>
      <c r="K586" t="s">
        <v>1185</v>
      </c>
      <c r="L586">
        <v>18</v>
      </c>
      <c r="M586" s="12">
        <v>68.819999999999993</v>
      </c>
      <c r="N586" s="2">
        <v>38503.563067129631</v>
      </c>
      <c r="O586" s="12"/>
      <c r="AC586" s="11" t="s">
        <v>2267</v>
      </c>
      <c r="AD586" s="11" t="s">
        <v>1426</v>
      </c>
      <c r="AE586" s="11" t="s">
        <v>2094</v>
      </c>
    </row>
    <row r="587" spans="9:31" x14ac:dyDescent="0.25">
      <c r="I587">
        <v>159</v>
      </c>
      <c r="J587" t="s">
        <v>1077</v>
      </c>
      <c r="K587" t="s">
        <v>1078</v>
      </c>
      <c r="L587">
        <v>21</v>
      </c>
      <c r="M587" s="12">
        <v>68.790000000000006</v>
      </c>
      <c r="N587" s="2">
        <v>38499.928078703706</v>
      </c>
      <c r="O587" s="12"/>
      <c r="AC587" s="11" t="s">
        <v>2268</v>
      </c>
      <c r="AD587" s="11" t="s">
        <v>1398</v>
      </c>
      <c r="AE587" s="11" t="s">
        <v>1864</v>
      </c>
    </row>
    <row r="588" spans="9:31" x14ac:dyDescent="0.25">
      <c r="I588">
        <v>218</v>
      </c>
      <c r="J588" t="s">
        <v>1180</v>
      </c>
      <c r="K588" t="s">
        <v>1181</v>
      </c>
      <c r="L588">
        <v>18</v>
      </c>
      <c r="M588" s="12">
        <v>67.819999999999993</v>
      </c>
      <c r="N588" s="2">
        <v>38518.851307870369</v>
      </c>
      <c r="O588" s="12"/>
      <c r="AC588" s="11" t="s">
        <v>2269</v>
      </c>
      <c r="AD588" s="11" t="s">
        <v>1474</v>
      </c>
      <c r="AE588" s="11" t="s">
        <v>2270</v>
      </c>
    </row>
    <row r="589" spans="9:31" x14ac:dyDescent="0.25">
      <c r="I589">
        <v>164</v>
      </c>
      <c r="J589" t="s">
        <v>1203</v>
      </c>
      <c r="K589" t="s">
        <v>1204</v>
      </c>
      <c r="L589">
        <v>16</v>
      </c>
      <c r="M589" s="12">
        <v>66.84</v>
      </c>
      <c r="N589" s="2">
        <v>38503.087256944447</v>
      </c>
      <c r="O589" s="12"/>
      <c r="AC589" s="11" t="s">
        <v>2271</v>
      </c>
      <c r="AD589" s="11" t="s">
        <v>1472</v>
      </c>
      <c r="AE589" s="11" t="s">
        <v>2272</v>
      </c>
    </row>
    <row r="590" spans="9:31" x14ac:dyDescent="0.25">
      <c r="I590">
        <v>458</v>
      </c>
      <c r="J590" t="s">
        <v>1155</v>
      </c>
      <c r="K590" t="s">
        <v>1156</v>
      </c>
      <c r="L590">
        <v>19</v>
      </c>
      <c r="M590" s="12">
        <v>66.81</v>
      </c>
      <c r="N590" s="2">
        <v>38522.362638888888</v>
      </c>
      <c r="O590" s="12"/>
      <c r="AC590" s="11" t="s">
        <v>2273</v>
      </c>
      <c r="AD590" s="11" t="s">
        <v>1450</v>
      </c>
      <c r="AE590" s="11" t="s">
        <v>1864</v>
      </c>
    </row>
    <row r="591" spans="9:31" x14ac:dyDescent="0.25">
      <c r="I591">
        <v>568</v>
      </c>
      <c r="J591" t="s">
        <v>1116</v>
      </c>
      <c r="K591" t="s">
        <v>1117</v>
      </c>
      <c r="L591">
        <v>21</v>
      </c>
      <c r="M591" s="12">
        <v>66.790000000000006</v>
      </c>
      <c r="N591" s="2">
        <v>38519.421643518515</v>
      </c>
      <c r="O591" s="12"/>
      <c r="AC591" s="11" t="s">
        <v>2274</v>
      </c>
      <c r="AD591" s="11" t="s">
        <v>1461</v>
      </c>
      <c r="AE591" s="11" t="s">
        <v>1961</v>
      </c>
    </row>
    <row r="592" spans="9:31" x14ac:dyDescent="0.25">
      <c r="I592">
        <v>492</v>
      </c>
      <c r="J592" t="s">
        <v>1209</v>
      </c>
      <c r="K592" t="s">
        <v>1210</v>
      </c>
      <c r="L592">
        <v>16</v>
      </c>
      <c r="M592" s="12">
        <v>65.84</v>
      </c>
      <c r="N592" s="2">
        <v>38497.525347222225</v>
      </c>
      <c r="O592" s="12"/>
      <c r="AC592" s="11" t="s">
        <v>2275</v>
      </c>
      <c r="AD592" s="11" t="s">
        <v>1426</v>
      </c>
      <c r="AE592" s="11" t="s">
        <v>2276</v>
      </c>
    </row>
    <row r="593" spans="9:31" x14ac:dyDescent="0.25">
      <c r="I593">
        <v>586</v>
      </c>
      <c r="J593" t="s">
        <v>1164</v>
      </c>
      <c r="K593" t="s">
        <v>1165</v>
      </c>
      <c r="L593">
        <v>19</v>
      </c>
      <c r="M593" s="12">
        <v>64.81</v>
      </c>
      <c r="N593" s="2">
        <v>38497.950254629628</v>
      </c>
      <c r="O593" s="12"/>
      <c r="AC593" s="11" t="s">
        <v>2277</v>
      </c>
      <c r="AD593" s="11" t="s">
        <v>1455</v>
      </c>
      <c r="AE593" s="11" t="s">
        <v>1451</v>
      </c>
    </row>
    <row r="594" spans="9:31" x14ac:dyDescent="0.25">
      <c r="I594">
        <v>252</v>
      </c>
      <c r="J594" t="s">
        <v>1032</v>
      </c>
      <c r="K594" t="s">
        <v>1033</v>
      </c>
      <c r="L594">
        <v>22</v>
      </c>
      <c r="M594" s="12">
        <v>64.78</v>
      </c>
      <c r="N594" s="2">
        <v>38501.137719907405</v>
      </c>
      <c r="O594" s="12"/>
      <c r="AC594" s="11" t="s">
        <v>2278</v>
      </c>
      <c r="AD594" s="11" t="s">
        <v>1474</v>
      </c>
      <c r="AE594" s="11" t="s">
        <v>2279</v>
      </c>
    </row>
    <row r="595" spans="9:31" x14ac:dyDescent="0.25">
      <c r="I595">
        <v>136</v>
      </c>
      <c r="J595" t="s">
        <v>1211</v>
      </c>
      <c r="K595" t="s">
        <v>1212</v>
      </c>
      <c r="L595">
        <v>15</v>
      </c>
      <c r="M595" s="12">
        <v>62.85</v>
      </c>
      <c r="N595" s="2">
        <v>38503.888993055552</v>
      </c>
      <c r="O595" s="12"/>
      <c r="AC595" s="11" t="s">
        <v>2280</v>
      </c>
      <c r="AD595" s="11" t="s">
        <v>1466</v>
      </c>
      <c r="AE595" s="11" t="s">
        <v>2281</v>
      </c>
    </row>
    <row r="596" spans="9:31" x14ac:dyDescent="0.25">
      <c r="I596">
        <v>110</v>
      </c>
      <c r="J596" t="s">
        <v>1217</v>
      </c>
      <c r="K596" t="s">
        <v>426</v>
      </c>
      <c r="L596">
        <v>14</v>
      </c>
      <c r="M596" s="12">
        <v>59.86</v>
      </c>
      <c r="N596" s="2">
        <v>38500.132060185184</v>
      </c>
      <c r="O596" s="12"/>
      <c r="AC596" s="11" t="s">
        <v>2282</v>
      </c>
      <c r="AD596" s="11" t="s">
        <v>1455</v>
      </c>
      <c r="AE596" s="11" t="s">
        <v>2283</v>
      </c>
    </row>
    <row r="597" spans="9:31" x14ac:dyDescent="0.25">
      <c r="I597">
        <v>61</v>
      </c>
      <c r="J597" t="s">
        <v>1215</v>
      </c>
      <c r="K597" t="s">
        <v>1216</v>
      </c>
      <c r="L597">
        <v>14</v>
      </c>
      <c r="M597" s="12">
        <v>58.86</v>
      </c>
      <c r="N597" s="2">
        <v>38503.949826388889</v>
      </c>
      <c r="O597" s="12"/>
      <c r="AC597" s="11" t="s">
        <v>1248</v>
      </c>
      <c r="AD597" s="11" t="s">
        <v>1474</v>
      </c>
      <c r="AE597" s="11" t="s">
        <v>2284</v>
      </c>
    </row>
    <row r="598" spans="9:31" x14ac:dyDescent="0.25">
      <c r="I598">
        <v>97</v>
      </c>
      <c r="J598" t="s">
        <v>1171</v>
      </c>
      <c r="K598" t="s">
        <v>106</v>
      </c>
      <c r="L598">
        <v>18</v>
      </c>
      <c r="M598" s="12">
        <v>58.82</v>
      </c>
      <c r="N598" s="2">
        <v>38520.718055555553</v>
      </c>
      <c r="O598" s="12"/>
      <c r="AC598" s="11" t="s">
        <v>1256</v>
      </c>
      <c r="AD598" s="11" t="s">
        <v>1470</v>
      </c>
      <c r="AE598" s="11" t="s">
        <v>1845</v>
      </c>
    </row>
    <row r="599" spans="9:31" x14ac:dyDescent="0.25">
      <c r="I599">
        <v>395</v>
      </c>
      <c r="J599" t="s">
        <v>1153</v>
      </c>
      <c r="K599" t="s">
        <v>1154</v>
      </c>
      <c r="L599">
        <v>19</v>
      </c>
      <c r="M599" s="12">
        <v>57.81</v>
      </c>
      <c r="N599" s="2">
        <v>38518.312754629631</v>
      </c>
      <c r="O599" s="12"/>
      <c r="AC599" s="11" t="s">
        <v>2285</v>
      </c>
      <c r="AD599" s="11" t="s">
        <v>1395</v>
      </c>
      <c r="AE599" s="11" t="s">
        <v>2286</v>
      </c>
    </row>
    <row r="600" spans="9:31" x14ac:dyDescent="0.25">
      <c r="I600">
        <v>318</v>
      </c>
      <c r="J600" t="s">
        <v>1220</v>
      </c>
      <c r="K600" t="s">
        <v>1221</v>
      </c>
      <c r="L600">
        <v>12</v>
      </c>
      <c r="M600" s="12">
        <v>52.88</v>
      </c>
      <c r="N600" s="2">
        <v>38498.429479166669</v>
      </c>
      <c r="O600" s="12"/>
      <c r="AC600" s="11" t="s">
        <v>2287</v>
      </c>
      <c r="AD600" s="11" t="s">
        <v>1443</v>
      </c>
      <c r="AE600" s="11" t="s">
        <v>1511</v>
      </c>
    </row>
    <row r="601" spans="9:31" x14ac:dyDescent="0.25">
      <c r="I601">
        <v>281</v>
      </c>
      <c r="J601" t="s">
        <v>1218</v>
      </c>
      <c r="K601" t="s">
        <v>1219</v>
      </c>
      <c r="L601">
        <v>14</v>
      </c>
      <c r="M601" s="12">
        <v>50.86</v>
      </c>
      <c r="N601" s="2">
        <v>38500.823379629626</v>
      </c>
      <c r="O601" s="12"/>
      <c r="AC601" s="11" t="s">
        <v>2288</v>
      </c>
      <c r="AD601" s="11" t="s">
        <v>1472</v>
      </c>
      <c r="AE601" s="11" t="s">
        <v>2289</v>
      </c>
    </row>
    <row r="602" spans="9:31" x14ac:dyDescent="0.25">
      <c r="I602">
        <v>248</v>
      </c>
      <c r="J602" t="s">
        <v>1213</v>
      </c>
      <c r="K602" t="s">
        <v>1214</v>
      </c>
      <c r="L602">
        <v>15</v>
      </c>
      <c r="M602" s="12">
        <v>50.85</v>
      </c>
      <c r="N602" s="2">
        <v>38499.094097222223</v>
      </c>
      <c r="O602" s="12"/>
      <c r="AC602" s="11" t="s">
        <v>2290</v>
      </c>
      <c r="AD602" s="11" t="s">
        <v>1418</v>
      </c>
      <c r="AE602" s="11" t="s">
        <v>1476</v>
      </c>
    </row>
    <row r="603" spans="9:31" x14ac:dyDescent="0.25">
      <c r="AC603" s="11" t="s">
        <v>2291</v>
      </c>
      <c r="AD603" s="11" t="s">
        <v>1410</v>
      </c>
      <c r="AE603" s="11" t="s">
        <v>2292</v>
      </c>
    </row>
    <row r="604" spans="9:31" x14ac:dyDescent="0.25">
      <c r="AC604" s="11" t="s">
        <v>2293</v>
      </c>
      <c r="AD604" s="11" t="s">
        <v>1472</v>
      </c>
      <c r="AE604" s="11" t="s">
        <v>2096</v>
      </c>
    </row>
    <row r="605" spans="9:31" x14ac:dyDescent="0.25">
      <c r="AC605" s="11" t="s">
        <v>2294</v>
      </c>
      <c r="AD605" s="11" t="s">
        <v>1463</v>
      </c>
      <c r="AE605" s="11" t="s">
        <v>1460</v>
      </c>
    </row>
    <row r="606" spans="9:31" x14ac:dyDescent="0.25">
      <c r="AC606" s="11" t="s">
        <v>2295</v>
      </c>
      <c r="AD606" s="11" t="s">
        <v>1433</v>
      </c>
      <c r="AE606" s="11" t="s">
        <v>2296</v>
      </c>
    </row>
    <row r="607" spans="9:31" x14ac:dyDescent="0.25">
      <c r="AC607" s="11" t="s">
        <v>2297</v>
      </c>
      <c r="AD607" s="11" t="s">
        <v>1470</v>
      </c>
      <c r="AE607" s="11" t="s">
        <v>2298</v>
      </c>
    </row>
    <row r="608" spans="9:31" x14ac:dyDescent="0.25">
      <c r="AC608" s="11" t="s">
        <v>2299</v>
      </c>
      <c r="AD608" s="11" t="s">
        <v>1461</v>
      </c>
      <c r="AE608" s="11" t="s">
        <v>2300</v>
      </c>
    </row>
    <row r="609" spans="29:31" x14ac:dyDescent="0.25">
      <c r="AC609" s="11" t="s">
        <v>2301</v>
      </c>
      <c r="AD609" s="11" t="s">
        <v>1474</v>
      </c>
      <c r="AE609" s="11" t="s">
        <v>2302</v>
      </c>
    </row>
    <row r="610" spans="29:31" x14ac:dyDescent="0.25">
      <c r="AC610" s="11" t="s">
        <v>2303</v>
      </c>
      <c r="AD610" s="11" t="s">
        <v>1459</v>
      </c>
      <c r="AE610" s="11" t="s">
        <v>1460</v>
      </c>
    </row>
    <row r="611" spans="29:31" x14ac:dyDescent="0.25">
      <c r="AC611" s="11" t="s">
        <v>2304</v>
      </c>
      <c r="AD611" s="11" t="s">
        <v>1463</v>
      </c>
      <c r="AE611" s="11" t="s">
        <v>1537</v>
      </c>
    </row>
    <row r="612" spans="29:31" x14ac:dyDescent="0.25">
      <c r="AC612" s="11" t="s">
        <v>2305</v>
      </c>
      <c r="AD612" s="11" t="s">
        <v>1455</v>
      </c>
      <c r="AE612" s="11" t="s">
        <v>1895</v>
      </c>
    </row>
    <row r="613" spans="29:31" x14ac:dyDescent="0.25">
      <c r="AC613" s="11" t="s">
        <v>2306</v>
      </c>
      <c r="AD613" s="11" t="s">
        <v>1452</v>
      </c>
      <c r="AE613" s="11" t="s">
        <v>1823</v>
      </c>
    </row>
    <row r="614" spans="29:31" x14ac:dyDescent="0.25">
      <c r="AC614" s="11" t="s">
        <v>2307</v>
      </c>
      <c r="AD614" s="11" t="s">
        <v>1461</v>
      </c>
      <c r="AE614" s="11" t="s">
        <v>1634</v>
      </c>
    </row>
    <row r="615" spans="29:31" x14ac:dyDescent="0.25">
      <c r="AC615" s="11" t="s">
        <v>2308</v>
      </c>
      <c r="AD615" s="11" t="s">
        <v>1453</v>
      </c>
      <c r="AE615" s="11" t="s">
        <v>1688</v>
      </c>
    </row>
    <row r="616" spans="29:31" x14ac:dyDescent="0.25">
      <c r="AC616" s="11" t="s">
        <v>2309</v>
      </c>
      <c r="AD616" s="11" t="s">
        <v>1410</v>
      </c>
      <c r="AE616" s="11" t="s">
        <v>2056</v>
      </c>
    </row>
    <row r="617" spans="29:31" x14ac:dyDescent="0.25">
      <c r="AC617" s="11" t="s">
        <v>2310</v>
      </c>
      <c r="AD617" s="11" t="s">
        <v>1466</v>
      </c>
      <c r="AE617" s="11" t="s">
        <v>2311</v>
      </c>
    </row>
    <row r="618" spans="29:31" x14ac:dyDescent="0.25">
      <c r="AC618" s="11" t="s">
        <v>2312</v>
      </c>
      <c r="AD618" s="11" t="s">
        <v>1463</v>
      </c>
      <c r="AE618" s="11" t="s">
        <v>1460</v>
      </c>
    </row>
    <row r="619" spans="29:31" x14ac:dyDescent="0.25">
      <c r="AC619" s="11" t="s">
        <v>2313</v>
      </c>
      <c r="AD619" s="11" t="s">
        <v>1423</v>
      </c>
      <c r="AE619" s="11" t="s">
        <v>2314</v>
      </c>
    </row>
    <row r="620" spans="29:31" x14ac:dyDescent="0.25">
      <c r="AC620" s="11" t="s">
        <v>2315</v>
      </c>
      <c r="AD620" s="11" t="s">
        <v>1472</v>
      </c>
      <c r="AE620" s="11" t="s">
        <v>2075</v>
      </c>
    </row>
    <row r="621" spans="29:31" x14ac:dyDescent="0.25">
      <c r="AC621" s="11" t="s">
        <v>2316</v>
      </c>
      <c r="AD621" s="11" t="s">
        <v>1418</v>
      </c>
      <c r="AE621" s="11" t="s">
        <v>2317</v>
      </c>
    </row>
    <row r="622" spans="29:31" x14ac:dyDescent="0.25">
      <c r="AC622" s="11" t="s">
        <v>2318</v>
      </c>
      <c r="AD622" s="11" t="s">
        <v>1426</v>
      </c>
      <c r="AE622" s="11" t="s">
        <v>2162</v>
      </c>
    </row>
    <row r="623" spans="29:31" x14ac:dyDescent="0.25">
      <c r="AC623" s="11" t="s">
        <v>2319</v>
      </c>
      <c r="AD623" s="11" t="s">
        <v>1426</v>
      </c>
      <c r="AE623" s="11" t="s">
        <v>2213</v>
      </c>
    </row>
    <row r="624" spans="29:31" x14ac:dyDescent="0.25">
      <c r="AC624" s="11" t="s">
        <v>2320</v>
      </c>
      <c r="AD624" s="11" t="s">
        <v>1433</v>
      </c>
      <c r="AE624" s="11" t="s">
        <v>1634</v>
      </c>
    </row>
    <row r="625" spans="29:31" x14ac:dyDescent="0.25">
      <c r="AC625" s="11" t="s">
        <v>2321</v>
      </c>
      <c r="AD625" s="11" t="s">
        <v>1470</v>
      </c>
      <c r="AE625" s="11" t="s">
        <v>1702</v>
      </c>
    </row>
    <row r="626" spans="29:31" x14ac:dyDescent="0.25">
      <c r="AC626" s="11" t="s">
        <v>2322</v>
      </c>
      <c r="AD626" s="11" t="s">
        <v>1423</v>
      </c>
      <c r="AE626" s="11" t="s">
        <v>1449</v>
      </c>
    </row>
    <row r="627" spans="29:31" x14ac:dyDescent="0.25">
      <c r="AC627" s="11" t="s">
        <v>2323</v>
      </c>
      <c r="AD627" s="11" t="s">
        <v>1423</v>
      </c>
      <c r="AE627" s="11" t="s">
        <v>1495</v>
      </c>
    </row>
    <row r="628" spans="29:31" x14ac:dyDescent="0.25">
      <c r="AC628" s="11" t="s">
        <v>2324</v>
      </c>
      <c r="AD628" s="11" t="s">
        <v>1429</v>
      </c>
      <c r="AE628" s="11" t="s">
        <v>2325</v>
      </c>
    </row>
    <row r="629" spans="29:31" x14ac:dyDescent="0.25">
      <c r="AC629" s="11" t="s">
        <v>2326</v>
      </c>
      <c r="AD629" s="11" t="s">
        <v>1470</v>
      </c>
      <c r="AE629" s="11" t="s">
        <v>2327</v>
      </c>
    </row>
    <row r="630" spans="29:31" x14ac:dyDescent="0.25">
      <c r="AC630" s="11" t="s">
        <v>2328</v>
      </c>
      <c r="AD630" s="11" t="s">
        <v>1443</v>
      </c>
      <c r="AE630" s="11" t="s">
        <v>2106</v>
      </c>
    </row>
    <row r="631" spans="29:31" x14ac:dyDescent="0.25">
      <c r="AC631" s="11" t="s">
        <v>2329</v>
      </c>
      <c r="AD631" s="11" t="s">
        <v>1455</v>
      </c>
      <c r="AE631" s="11" t="s">
        <v>2145</v>
      </c>
    </row>
    <row r="632" spans="29:31" x14ac:dyDescent="0.25">
      <c r="AC632" s="11" t="s">
        <v>2330</v>
      </c>
      <c r="AD632" s="11" t="s">
        <v>1455</v>
      </c>
      <c r="AE632" s="11" t="s">
        <v>1712</v>
      </c>
    </row>
    <row r="633" spans="29:31" x14ac:dyDescent="0.25">
      <c r="AC633" s="11" t="s">
        <v>2331</v>
      </c>
      <c r="AD633" s="11" t="s">
        <v>1457</v>
      </c>
      <c r="AE633" s="11" t="s">
        <v>1649</v>
      </c>
    </row>
    <row r="634" spans="29:31" x14ac:dyDescent="0.25">
      <c r="AC634" s="11" t="s">
        <v>2332</v>
      </c>
      <c r="AD634" s="11" t="s">
        <v>1435</v>
      </c>
      <c r="AE634" s="11" t="s">
        <v>2333</v>
      </c>
    </row>
    <row r="635" spans="29:31" x14ac:dyDescent="0.25">
      <c r="AC635" s="11" t="s">
        <v>2334</v>
      </c>
      <c r="AD635" s="11" t="s">
        <v>1470</v>
      </c>
      <c r="AE635" s="11" t="s">
        <v>2317</v>
      </c>
    </row>
    <row r="636" spans="29:31" x14ac:dyDescent="0.25">
      <c r="AC636" s="11" t="s">
        <v>2335</v>
      </c>
      <c r="AD636" s="11" t="s">
        <v>1457</v>
      </c>
      <c r="AE636" s="11" t="s">
        <v>2336</v>
      </c>
    </row>
    <row r="637" spans="29:31" x14ac:dyDescent="0.25">
      <c r="AC637" s="11" t="s">
        <v>2337</v>
      </c>
      <c r="AD637" s="11" t="s">
        <v>1466</v>
      </c>
      <c r="AE637" s="11" t="s">
        <v>1780</v>
      </c>
    </row>
    <row r="638" spans="29:31" x14ac:dyDescent="0.25">
      <c r="AC638" s="11" t="s">
        <v>2338</v>
      </c>
      <c r="AD638" s="11" t="s">
        <v>1466</v>
      </c>
      <c r="AE638" s="11" t="s">
        <v>1643</v>
      </c>
    </row>
    <row r="639" spans="29:31" x14ac:dyDescent="0.25">
      <c r="AC639" s="11" t="s">
        <v>2339</v>
      </c>
      <c r="AD639" s="11" t="s">
        <v>1461</v>
      </c>
      <c r="AE639" s="11" t="s">
        <v>2340</v>
      </c>
    </row>
    <row r="640" spans="29:31" x14ac:dyDescent="0.25">
      <c r="AC640" s="11" t="s">
        <v>2341</v>
      </c>
      <c r="AD640" s="11" t="s">
        <v>1474</v>
      </c>
      <c r="AE640" s="11" t="s">
        <v>2342</v>
      </c>
    </row>
    <row r="641" spans="29:31" x14ac:dyDescent="0.25">
      <c r="AC641" s="11" t="s">
        <v>2343</v>
      </c>
      <c r="AD641" s="11" t="s">
        <v>1469</v>
      </c>
      <c r="AE641" s="11" t="s">
        <v>1473</v>
      </c>
    </row>
    <row r="642" spans="29:31" x14ac:dyDescent="0.25">
      <c r="AC642" s="11" t="s">
        <v>2344</v>
      </c>
      <c r="AD642" s="11" t="s">
        <v>1426</v>
      </c>
      <c r="AE642" s="11" t="s">
        <v>2345</v>
      </c>
    </row>
    <row r="643" spans="29:31" x14ac:dyDescent="0.25">
      <c r="AC643" s="11" t="s">
        <v>2346</v>
      </c>
      <c r="AD643" s="11" t="s">
        <v>1469</v>
      </c>
      <c r="AE643" s="11" t="s">
        <v>1501</v>
      </c>
    </row>
    <row r="644" spans="29:31" x14ac:dyDescent="0.25">
      <c r="AC644" s="11" t="s">
        <v>2347</v>
      </c>
      <c r="AD644" s="11" t="s">
        <v>1470</v>
      </c>
      <c r="AE644" s="11" t="s">
        <v>1623</v>
      </c>
    </row>
    <row r="645" spans="29:31" x14ac:dyDescent="0.25">
      <c r="AC645" s="11" t="s">
        <v>2348</v>
      </c>
      <c r="AD645" s="11" t="s">
        <v>1433</v>
      </c>
      <c r="AE645" s="11" t="s">
        <v>1985</v>
      </c>
    </row>
    <row r="646" spans="29:31" x14ac:dyDescent="0.25">
      <c r="AC646" s="11" t="s">
        <v>2349</v>
      </c>
      <c r="AD646" s="11" t="s">
        <v>1413</v>
      </c>
      <c r="AE646" s="11" t="s">
        <v>2350</v>
      </c>
    </row>
    <row r="647" spans="29:31" x14ac:dyDescent="0.25">
      <c r="AC647" s="11" t="s">
        <v>2351</v>
      </c>
      <c r="AD647" s="11" t="s">
        <v>1472</v>
      </c>
      <c r="AE647" s="11" t="s">
        <v>1549</v>
      </c>
    </row>
    <row r="648" spans="29:31" x14ac:dyDescent="0.25">
      <c r="AC648" s="11" t="s">
        <v>2352</v>
      </c>
      <c r="AD648" s="11" t="s">
        <v>1470</v>
      </c>
      <c r="AE648" s="11" t="s">
        <v>1955</v>
      </c>
    </row>
    <row r="649" spans="29:31" x14ac:dyDescent="0.25">
      <c r="AC649" s="11" t="s">
        <v>2353</v>
      </c>
      <c r="AD649" s="11" t="s">
        <v>1457</v>
      </c>
      <c r="AE649" s="11" t="s">
        <v>1478</v>
      </c>
    </row>
    <row r="650" spans="29:31" x14ac:dyDescent="0.25">
      <c r="AC650" s="11" t="s">
        <v>2354</v>
      </c>
      <c r="AD650" s="11" t="s">
        <v>1452</v>
      </c>
      <c r="AE650" s="11" t="s">
        <v>1499</v>
      </c>
    </row>
    <row r="651" spans="29:31" x14ac:dyDescent="0.25">
      <c r="AC651" s="11" t="s">
        <v>2355</v>
      </c>
      <c r="AD651" s="11" t="s">
        <v>1426</v>
      </c>
      <c r="AE651" s="11" t="s">
        <v>1487</v>
      </c>
    </row>
    <row r="652" spans="29:31" x14ac:dyDescent="0.25">
      <c r="AC652" s="11" t="s">
        <v>2356</v>
      </c>
      <c r="AD652" s="11" t="s">
        <v>1453</v>
      </c>
      <c r="AE652" s="11" t="s">
        <v>2298</v>
      </c>
    </row>
    <row r="653" spans="29:31" x14ac:dyDescent="0.25">
      <c r="AC653" s="11" t="s">
        <v>2357</v>
      </c>
      <c r="AD653" s="11" t="s">
        <v>1469</v>
      </c>
      <c r="AE653" s="11" t="s">
        <v>2003</v>
      </c>
    </row>
    <row r="654" spans="29:31" x14ac:dyDescent="0.25">
      <c r="AC654" s="11" t="s">
        <v>2358</v>
      </c>
      <c r="AD654" s="11" t="s">
        <v>1469</v>
      </c>
      <c r="AE654" s="11" t="s">
        <v>1649</v>
      </c>
    </row>
    <row r="655" spans="29:31" x14ac:dyDescent="0.25">
      <c r="AC655" s="11" t="s">
        <v>2359</v>
      </c>
      <c r="AD655" s="11" t="s">
        <v>1433</v>
      </c>
      <c r="AE655" s="11" t="s">
        <v>2360</v>
      </c>
    </row>
    <row r="656" spans="29:31" x14ac:dyDescent="0.25">
      <c r="AC656" s="11" t="s">
        <v>2361</v>
      </c>
      <c r="AD656" s="11" t="s">
        <v>1453</v>
      </c>
      <c r="AE656" s="11" t="s">
        <v>2362</v>
      </c>
    </row>
    <row r="657" spans="29:31" x14ac:dyDescent="0.25">
      <c r="AC657" s="11" t="s">
        <v>2363</v>
      </c>
      <c r="AD657" s="11" t="s">
        <v>1446</v>
      </c>
      <c r="AE657" s="11" t="s">
        <v>2364</v>
      </c>
    </row>
    <row r="658" spans="29:31" x14ac:dyDescent="0.25">
      <c r="AC658" s="11" t="s">
        <v>2365</v>
      </c>
      <c r="AD658" s="11" t="s">
        <v>1413</v>
      </c>
      <c r="AE658" s="11" t="s">
        <v>1810</v>
      </c>
    </row>
    <row r="659" spans="29:31" x14ac:dyDescent="0.25">
      <c r="AC659" s="11" t="s">
        <v>2366</v>
      </c>
      <c r="AD659" s="11" t="s">
        <v>1443</v>
      </c>
      <c r="AE659" s="11" t="s">
        <v>1468</v>
      </c>
    </row>
    <row r="660" spans="29:31" x14ac:dyDescent="0.25">
      <c r="AC660" s="11" t="s">
        <v>2367</v>
      </c>
      <c r="AD660" s="11" t="s">
        <v>1459</v>
      </c>
      <c r="AE660" s="11" t="s">
        <v>2219</v>
      </c>
    </row>
    <row r="661" spans="29:31" x14ac:dyDescent="0.25">
      <c r="AC661" s="11" t="s">
        <v>2368</v>
      </c>
      <c r="AD661" s="11" t="s">
        <v>1469</v>
      </c>
      <c r="AE661" s="11" t="s">
        <v>1744</v>
      </c>
    </row>
    <row r="662" spans="29:31" x14ac:dyDescent="0.25">
      <c r="AC662" s="11" t="s">
        <v>2369</v>
      </c>
      <c r="AD662" s="11" t="s">
        <v>1413</v>
      </c>
      <c r="AE662" s="11" t="s">
        <v>1660</v>
      </c>
    </row>
    <row r="663" spans="29:31" x14ac:dyDescent="0.25">
      <c r="AC663" s="11" t="s">
        <v>2370</v>
      </c>
      <c r="AD663" s="11" t="s">
        <v>1435</v>
      </c>
      <c r="AE663" s="11" t="s">
        <v>2371</v>
      </c>
    </row>
    <row r="664" spans="29:31" x14ac:dyDescent="0.25">
      <c r="AC664" s="11" t="s">
        <v>2372</v>
      </c>
      <c r="AD664" s="11" t="s">
        <v>1435</v>
      </c>
      <c r="AE664" s="11" t="s">
        <v>1812</v>
      </c>
    </row>
    <row r="665" spans="29:31" x14ac:dyDescent="0.25">
      <c r="AC665" s="11" t="s">
        <v>2373</v>
      </c>
      <c r="AD665" s="11" t="s">
        <v>1474</v>
      </c>
      <c r="AE665" s="11" t="s">
        <v>1552</v>
      </c>
    </row>
    <row r="666" spans="29:31" x14ac:dyDescent="0.25">
      <c r="AC666" s="11" t="s">
        <v>2374</v>
      </c>
      <c r="AD666" s="11" t="s">
        <v>1472</v>
      </c>
      <c r="AE666" s="11" t="s">
        <v>2375</v>
      </c>
    </row>
    <row r="667" spans="29:31" x14ac:dyDescent="0.25">
      <c r="AC667" s="11" t="s">
        <v>2376</v>
      </c>
      <c r="AD667" s="11" t="s">
        <v>1463</v>
      </c>
      <c r="AE667" s="11" t="s">
        <v>1542</v>
      </c>
    </row>
    <row r="668" spans="29:31" x14ac:dyDescent="0.25">
      <c r="AC668" s="11" t="s">
        <v>2377</v>
      </c>
      <c r="AD668" s="11" t="s">
        <v>1472</v>
      </c>
      <c r="AE668" s="11" t="s">
        <v>1845</v>
      </c>
    </row>
    <row r="669" spans="29:31" x14ac:dyDescent="0.25">
      <c r="AC669" s="11" t="s">
        <v>2378</v>
      </c>
      <c r="AD669" s="11" t="s">
        <v>1433</v>
      </c>
      <c r="AE669" s="11" t="s">
        <v>1800</v>
      </c>
    </row>
    <row r="670" spans="29:31" x14ac:dyDescent="0.25">
      <c r="AC670" s="11" t="s">
        <v>2379</v>
      </c>
      <c r="AD670" s="11" t="s">
        <v>1443</v>
      </c>
      <c r="AE670" s="11" t="s">
        <v>1673</v>
      </c>
    </row>
    <row r="671" spans="29:31" x14ac:dyDescent="0.25">
      <c r="AC671" s="11" t="s">
        <v>2380</v>
      </c>
      <c r="AD671" s="11" t="s">
        <v>1469</v>
      </c>
      <c r="AE671" s="11" t="s">
        <v>1804</v>
      </c>
    </row>
    <row r="672" spans="29:31" x14ac:dyDescent="0.25">
      <c r="AC672" s="11" t="s">
        <v>2381</v>
      </c>
      <c r="AD672" s="11" t="s">
        <v>1410</v>
      </c>
      <c r="AE672" s="11" t="s">
        <v>1590</v>
      </c>
    </row>
    <row r="673" spans="29:31" x14ac:dyDescent="0.25">
      <c r="AC673" s="11" t="s">
        <v>2382</v>
      </c>
      <c r="AD673" s="11" t="s">
        <v>1410</v>
      </c>
      <c r="AE673" s="11" t="s">
        <v>1985</v>
      </c>
    </row>
    <row r="674" spans="29:31" x14ac:dyDescent="0.25">
      <c r="AC674" s="11" t="s">
        <v>2383</v>
      </c>
      <c r="AD674" s="11" t="s">
        <v>1450</v>
      </c>
      <c r="AE674" s="11" t="s">
        <v>1635</v>
      </c>
    </row>
    <row r="675" spans="29:31" x14ac:dyDescent="0.25">
      <c r="AC675" s="11" t="s">
        <v>2384</v>
      </c>
      <c r="AD675" s="11" t="s">
        <v>1463</v>
      </c>
      <c r="AE675" s="11" t="s">
        <v>1709</v>
      </c>
    </row>
    <row r="676" spans="29:31" x14ac:dyDescent="0.25">
      <c r="AC676" s="11" t="s">
        <v>2385</v>
      </c>
      <c r="AD676" s="11" t="s">
        <v>1398</v>
      </c>
      <c r="AE676" s="11" t="s">
        <v>2115</v>
      </c>
    </row>
    <row r="677" spans="29:31" x14ac:dyDescent="0.25">
      <c r="AC677" s="11" t="s">
        <v>2386</v>
      </c>
      <c r="AD677" s="11" t="s">
        <v>1457</v>
      </c>
      <c r="AE677" s="11" t="s">
        <v>1996</v>
      </c>
    </row>
    <row r="678" spans="29:31" x14ac:dyDescent="0.25">
      <c r="AC678" s="11" t="s">
        <v>2387</v>
      </c>
      <c r="AD678" s="11" t="s">
        <v>1469</v>
      </c>
      <c r="AE678" s="11" t="s">
        <v>2388</v>
      </c>
    </row>
    <row r="679" spans="29:31" x14ac:dyDescent="0.25">
      <c r="AC679" s="11" t="s">
        <v>2389</v>
      </c>
      <c r="AD679" s="11" t="s">
        <v>1466</v>
      </c>
      <c r="AE679" s="11" t="s">
        <v>2390</v>
      </c>
    </row>
    <row r="680" spans="29:31" x14ac:dyDescent="0.25">
      <c r="AC680" s="11" t="s">
        <v>2391</v>
      </c>
      <c r="AD680" s="11" t="s">
        <v>1429</v>
      </c>
      <c r="AE680" s="11" t="s">
        <v>2392</v>
      </c>
    </row>
    <row r="681" spans="29:31" x14ac:dyDescent="0.25">
      <c r="AC681" s="11" t="s">
        <v>2393</v>
      </c>
      <c r="AD681" s="11" t="s">
        <v>1433</v>
      </c>
      <c r="AE681" s="11" t="s">
        <v>1556</v>
      </c>
    </row>
    <row r="682" spans="29:31" x14ac:dyDescent="0.25">
      <c r="AC682" s="11" t="s">
        <v>2394</v>
      </c>
      <c r="AD682" s="11" t="s">
        <v>1469</v>
      </c>
      <c r="AE682" s="11" t="s">
        <v>2395</v>
      </c>
    </row>
    <row r="683" spans="29:31" x14ac:dyDescent="0.25">
      <c r="AC683" s="11" t="s">
        <v>2396</v>
      </c>
      <c r="AD683" s="11" t="s">
        <v>1435</v>
      </c>
      <c r="AE683" s="11" t="s">
        <v>1862</v>
      </c>
    </row>
    <row r="684" spans="29:31" x14ac:dyDescent="0.25">
      <c r="AC684" s="11" t="s">
        <v>2397</v>
      </c>
      <c r="AD684" s="11" t="s">
        <v>1474</v>
      </c>
      <c r="AE684" s="11" t="s">
        <v>2398</v>
      </c>
    </row>
    <row r="685" spans="29:31" x14ac:dyDescent="0.25">
      <c r="AC685" s="11" t="s">
        <v>2399</v>
      </c>
      <c r="AD685" s="11" t="s">
        <v>1466</v>
      </c>
      <c r="AE685" s="11" t="s">
        <v>2400</v>
      </c>
    </row>
    <row r="686" spans="29:31" x14ac:dyDescent="0.25">
      <c r="AC686" s="11" t="s">
        <v>2401</v>
      </c>
      <c r="AD686" s="11" t="s">
        <v>1459</v>
      </c>
      <c r="AE686" s="11" t="s">
        <v>1565</v>
      </c>
    </row>
    <row r="687" spans="29:31" x14ac:dyDescent="0.25">
      <c r="AC687" s="11" t="s">
        <v>2402</v>
      </c>
      <c r="AD687" s="11" t="s">
        <v>1410</v>
      </c>
      <c r="AE687" s="11" t="s">
        <v>2124</v>
      </c>
    </row>
    <row r="688" spans="29:31" x14ac:dyDescent="0.25">
      <c r="AC688" s="11" t="s">
        <v>2403</v>
      </c>
      <c r="AD688" s="11" t="s">
        <v>1469</v>
      </c>
      <c r="AE688" s="11" t="s">
        <v>1952</v>
      </c>
    </row>
    <row r="689" spans="29:31" x14ac:dyDescent="0.25">
      <c r="AC689" s="11" t="s">
        <v>2404</v>
      </c>
      <c r="AD689" s="11" t="s">
        <v>1472</v>
      </c>
      <c r="AE689" s="11" t="s">
        <v>1883</v>
      </c>
    </row>
    <row r="690" spans="29:31" x14ac:dyDescent="0.25">
      <c r="AC690" s="11" t="s">
        <v>2405</v>
      </c>
      <c r="AD690" s="11" t="s">
        <v>1457</v>
      </c>
      <c r="AE690" s="11" t="s">
        <v>1823</v>
      </c>
    </row>
    <row r="691" spans="29:31" x14ac:dyDescent="0.25">
      <c r="AC691" s="11" t="s">
        <v>2406</v>
      </c>
      <c r="AD691" s="11" t="s">
        <v>1457</v>
      </c>
      <c r="AE691" s="11" t="s">
        <v>1554</v>
      </c>
    </row>
    <row r="692" spans="29:31" x14ac:dyDescent="0.25">
      <c r="AC692" s="11" t="s">
        <v>2407</v>
      </c>
      <c r="AD692" s="11" t="s">
        <v>1433</v>
      </c>
      <c r="AE692" s="11" t="s">
        <v>1847</v>
      </c>
    </row>
    <row r="693" spans="29:31" x14ac:dyDescent="0.25">
      <c r="AC693" s="11" t="s">
        <v>2408</v>
      </c>
      <c r="AD693" s="11" t="s">
        <v>1459</v>
      </c>
      <c r="AE693" s="11" t="s">
        <v>2409</v>
      </c>
    </row>
    <row r="694" spans="29:31" x14ac:dyDescent="0.25">
      <c r="AC694" s="11" t="s">
        <v>2410</v>
      </c>
      <c r="AD694" s="11" t="s">
        <v>1463</v>
      </c>
      <c r="AE694" s="11" t="s">
        <v>2411</v>
      </c>
    </row>
    <row r="695" spans="29:31" x14ac:dyDescent="0.25">
      <c r="AC695" s="11" t="s">
        <v>2412</v>
      </c>
      <c r="AD695" s="11" t="s">
        <v>1433</v>
      </c>
      <c r="AE695" s="11" t="s">
        <v>1639</v>
      </c>
    </row>
    <row r="696" spans="29:31" x14ac:dyDescent="0.25">
      <c r="AC696" s="11" t="s">
        <v>2413</v>
      </c>
      <c r="AD696" s="11" t="s">
        <v>1435</v>
      </c>
      <c r="AE696" s="11" t="s">
        <v>2414</v>
      </c>
    </row>
    <row r="697" spans="29:31" x14ac:dyDescent="0.25">
      <c r="AC697" s="11" t="s">
        <v>2415</v>
      </c>
      <c r="AD697" s="11" t="s">
        <v>1474</v>
      </c>
      <c r="AE697" s="11" t="s">
        <v>2416</v>
      </c>
    </row>
    <row r="698" spans="29:31" x14ac:dyDescent="0.25">
      <c r="AC698" s="11" t="s">
        <v>2417</v>
      </c>
      <c r="AD698" s="11" t="s">
        <v>1461</v>
      </c>
      <c r="AE698" s="11" t="s">
        <v>1473</v>
      </c>
    </row>
    <row r="699" spans="29:31" x14ac:dyDescent="0.25">
      <c r="AC699" s="11" t="s">
        <v>2418</v>
      </c>
      <c r="AD699" s="11" t="s">
        <v>1453</v>
      </c>
      <c r="AE699" s="11" t="s">
        <v>2419</v>
      </c>
    </row>
    <row r="700" spans="29:31" x14ac:dyDescent="0.25">
      <c r="AC700" s="11" t="s">
        <v>2420</v>
      </c>
      <c r="AD700" s="11" t="s">
        <v>1433</v>
      </c>
      <c r="AE700" s="11" t="s">
        <v>2421</v>
      </c>
    </row>
    <row r="701" spans="29:31" x14ac:dyDescent="0.25">
      <c r="AC701" s="11" t="s">
        <v>2422</v>
      </c>
      <c r="AD701" s="11" t="s">
        <v>1463</v>
      </c>
      <c r="AE701" s="11" t="s">
        <v>2423</v>
      </c>
    </row>
    <row r="702" spans="29:31" x14ac:dyDescent="0.25">
      <c r="AC702" s="11" t="s">
        <v>2424</v>
      </c>
      <c r="AD702" s="11" t="s">
        <v>1392</v>
      </c>
      <c r="AE702" s="11" t="s">
        <v>2425</v>
      </c>
    </row>
    <row r="703" spans="29:31" x14ac:dyDescent="0.25">
      <c r="AC703" s="11" t="s">
        <v>2426</v>
      </c>
      <c r="AD703" s="11" t="s">
        <v>1461</v>
      </c>
      <c r="AE703" s="11" t="s">
        <v>1985</v>
      </c>
    </row>
    <row r="704" spans="29:31" x14ac:dyDescent="0.25">
      <c r="AC704" s="11" t="s">
        <v>2427</v>
      </c>
      <c r="AD704" s="11" t="s">
        <v>1455</v>
      </c>
      <c r="AE704" s="11" t="s">
        <v>1825</v>
      </c>
    </row>
    <row r="705" spans="29:31" x14ac:dyDescent="0.25">
      <c r="AC705" s="11" t="s">
        <v>2428</v>
      </c>
      <c r="AD705" s="11" t="s">
        <v>1433</v>
      </c>
      <c r="AE705" s="11" t="s">
        <v>1479</v>
      </c>
    </row>
    <row r="706" spans="29:31" x14ac:dyDescent="0.25">
      <c r="AC706" s="11" t="s">
        <v>2429</v>
      </c>
      <c r="AD706" s="11" t="s">
        <v>1474</v>
      </c>
      <c r="AE706" s="11" t="s">
        <v>2430</v>
      </c>
    </row>
    <row r="707" spans="29:31" x14ac:dyDescent="0.25">
      <c r="AC707" s="11" t="s">
        <v>2431</v>
      </c>
      <c r="AD707" s="11" t="s">
        <v>1395</v>
      </c>
      <c r="AE707" s="11" t="s">
        <v>1552</v>
      </c>
    </row>
    <row r="708" spans="29:31" x14ac:dyDescent="0.25">
      <c r="AC708" s="11" t="s">
        <v>2432</v>
      </c>
      <c r="AD708" s="11" t="s">
        <v>1466</v>
      </c>
      <c r="AE708" s="11" t="s">
        <v>2433</v>
      </c>
    </row>
    <row r="709" spans="29:31" x14ac:dyDescent="0.25">
      <c r="AC709" s="11" t="s">
        <v>2434</v>
      </c>
      <c r="AD709" s="11" t="s">
        <v>1472</v>
      </c>
      <c r="AE709" s="11" t="s">
        <v>2435</v>
      </c>
    </row>
    <row r="710" spans="29:31" x14ac:dyDescent="0.25">
      <c r="AC710" s="11" t="s">
        <v>2436</v>
      </c>
      <c r="AD710" s="11" t="s">
        <v>1390</v>
      </c>
      <c r="AE710" s="11" t="s">
        <v>1774</v>
      </c>
    </row>
    <row r="711" spans="29:31" x14ac:dyDescent="0.25">
      <c r="AC711" s="11" t="s">
        <v>2437</v>
      </c>
      <c r="AD711" s="11" t="s">
        <v>1469</v>
      </c>
      <c r="AE711" s="11" t="s">
        <v>1685</v>
      </c>
    </row>
    <row r="712" spans="29:31" x14ac:dyDescent="0.25">
      <c r="AC712" s="11" t="s">
        <v>2438</v>
      </c>
      <c r="AD712" s="11" t="s">
        <v>1461</v>
      </c>
      <c r="AE712" s="11" t="s">
        <v>2439</v>
      </c>
    </row>
    <row r="713" spans="29:31" x14ac:dyDescent="0.25">
      <c r="AC713" s="11" t="s">
        <v>2440</v>
      </c>
      <c r="AD713" s="11" t="s">
        <v>1423</v>
      </c>
      <c r="AE713" s="11" t="s">
        <v>2014</v>
      </c>
    </row>
    <row r="714" spans="29:31" x14ac:dyDescent="0.25">
      <c r="AC714" s="11" t="s">
        <v>2441</v>
      </c>
      <c r="AD714" s="11" t="s">
        <v>1433</v>
      </c>
      <c r="AE714" s="11" t="s">
        <v>1464</v>
      </c>
    </row>
    <row r="715" spans="29:31" x14ac:dyDescent="0.25">
      <c r="AC715" s="11" t="s">
        <v>2442</v>
      </c>
      <c r="AD715" s="11" t="s">
        <v>1472</v>
      </c>
      <c r="AE715" s="11" t="s">
        <v>2443</v>
      </c>
    </row>
    <row r="716" spans="29:31" x14ac:dyDescent="0.25">
      <c r="AC716" s="11" t="s">
        <v>2444</v>
      </c>
      <c r="AD716" s="11" t="s">
        <v>1406</v>
      </c>
      <c r="AE716" s="11" t="s">
        <v>1625</v>
      </c>
    </row>
    <row r="717" spans="29:31" x14ac:dyDescent="0.25">
      <c r="AC717" s="11" t="s">
        <v>2445</v>
      </c>
      <c r="AD717" s="11" t="s">
        <v>1435</v>
      </c>
      <c r="AE717" s="11" t="s">
        <v>1634</v>
      </c>
    </row>
    <row r="718" spans="29:31" x14ac:dyDescent="0.25">
      <c r="AC718" s="11" t="s">
        <v>2446</v>
      </c>
      <c r="AD718" s="11" t="s">
        <v>1474</v>
      </c>
      <c r="AE718" s="11" t="s">
        <v>2447</v>
      </c>
    </row>
    <row r="719" spans="29:31" x14ac:dyDescent="0.25">
      <c r="AC719" s="11" t="s">
        <v>1246</v>
      </c>
      <c r="AD719" s="11" t="s">
        <v>1398</v>
      </c>
      <c r="AE719" s="11" t="s">
        <v>1672</v>
      </c>
    </row>
    <row r="720" spans="29:31" x14ac:dyDescent="0.25">
      <c r="AC720" s="11" t="s">
        <v>2448</v>
      </c>
      <c r="AD720" s="11" t="s">
        <v>1469</v>
      </c>
      <c r="AE720" s="11" t="s">
        <v>1501</v>
      </c>
    </row>
    <row r="721" spans="29:31" x14ac:dyDescent="0.25">
      <c r="AC721" s="11" t="s">
        <v>2449</v>
      </c>
      <c r="AD721" s="11" t="s">
        <v>1461</v>
      </c>
      <c r="AE721" s="11" t="s">
        <v>2009</v>
      </c>
    </row>
    <row r="722" spans="29:31" x14ac:dyDescent="0.25">
      <c r="AC722" s="11" t="s">
        <v>2450</v>
      </c>
      <c r="AD722" s="11" t="s">
        <v>1457</v>
      </c>
      <c r="AE722" s="11" t="s">
        <v>2451</v>
      </c>
    </row>
    <row r="723" spans="29:31" x14ac:dyDescent="0.25">
      <c r="AC723" s="11" t="s">
        <v>2452</v>
      </c>
      <c r="AD723" s="11" t="s">
        <v>1457</v>
      </c>
      <c r="AE723" s="11" t="s">
        <v>2453</v>
      </c>
    </row>
    <row r="724" spans="29:31" x14ac:dyDescent="0.25">
      <c r="AC724" s="11" t="s">
        <v>2454</v>
      </c>
      <c r="AD724" s="11" t="s">
        <v>1395</v>
      </c>
      <c r="AE724" s="11" t="s">
        <v>2455</v>
      </c>
    </row>
    <row r="725" spans="29:31" x14ac:dyDescent="0.25">
      <c r="AC725" s="11" t="s">
        <v>2456</v>
      </c>
      <c r="AD725" s="11" t="s">
        <v>1452</v>
      </c>
      <c r="AE725" s="11" t="s">
        <v>1447</v>
      </c>
    </row>
    <row r="726" spans="29:31" x14ac:dyDescent="0.25">
      <c r="AC726" s="11" t="s">
        <v>2457</v>
      </c>
      <c r="AD726" s="11" t="s">
        <v>1453</v>
      </c>
      <c r="AE726" s="11" t="s">
        <v>1454</v>
      </c>
    </row>
    <row r="727" spans="29:31" x14ac:dyDescent="0.25">
      <c r="AC727" s="11" t="s">
        <v>2458</v>
      </c>
      <c r="AD727" s="11" t="s">
        <v>1470</v>
      </c>
      <c r="AE727" s="11" t="s">
        <v>2459</v>
      </c>
    </row>
    <row r="728" spans="29:31" x14ac:dyDescent="0.25">
      <c r="AC728" s="11" t="s">
        <v>2460</v>
      </c>
      <c r="AD728" s="11" t="s">
        <v>1469</v>
      </c>
      <c r="AE728" s="11" t="s">
        <v>1505</v>
      </c>
    </row>
    <row r="729" spans="29:31" x14ac:dyDescent="0.25">
      <c r="AC729" s="11" t="s">
        <v>2461</v>
      </c>
      <c r="AD729" s="11" t="s">
        <v>1457</v>
      </c>
      <c r="AE729" s="11" t="s">
        <v>1449</v>
      </c>
    </row>
    <row r="730" spans="29:31" x14ac:dyDescent="0.25">
      <c r="AC730" s="11" t="s">
        <v>2462</v>
      </c>
      <c r="AD730" s="11" t="s">
        <v>1426</v>
      </c>
      <c r="AE730" s="11" t="s">
        <v>1722</v>
      </c>
    </row>
    <row r="731" spans="29:31" x14ac:dyDescent="0.25">
      <c r="AC731" s="11" t="s">
        <v>2463</v>
      </c>
      <c r="AD731" s="11" t="s">
        <v>1418</v>
      </c>
      <c r="AE731" s="11" t="s">
        <v>1907</v>
      </c>
    </row>
    <row r="732" spans="29:31" x14ac:dyDescent="0.25">
      <c r="AC732" s="11" t="s">
        <v>2464</v>
      </c>
      <c r="AD732" s="11" t="s">
        <v>1463</v>
      </c>
      <c r="AE732" s="11" t="s">
        <v>2465</v>
      </c>
    </row>
    <row r="733" spans="29:31" x14ac:dyDescent="0.25">
      <c r="AC733" s="11" t="s">
        <v>2466</v>
      </c>
      <c r="AD733" s="11" t="s">
        <v>1466</v>
      </c>
      <c r="AE733" s="11" t="s">
        <v>2158</v>
      </c>
    </row>
    <row r="734" spans="29:31" x14ac:dyDescent="0.25">
      <c r="AC734" s="11" t="s">
        <v>2467</v>
      </c>
      <c r="AD734" s="11" t="s">
        <v>1472</v>
      </c>
      <c r="AE734" s="11" t="s">
        <v>1918</v>
      </c>
    </row>
    <row r="735" spans="29:31" x14ac:dyDescent="0.25">
      <c r="AC735" s="11" t="s">
        <v>2468</v>
      </c>
      <c r="AD735" s="11" t="s">
        <v>1406</v>
      </c>
      <c r="AE735" s="11" t="s">
        <v>2469</v>
      </c>
    </row>
    <row r="736" spans="29:31" x14ac:dyDescent="0.25">
      <c r="AC736" s="11" t="s">
        <v>2470</v>
      </c>
      <c r="AD736" s="11" t="s">
        <v>1466</v>
      </c>
      <c r="AE736" s="11" t="s">
        <v>2127</v>
      </c>
    </row>
    <row r="737" spans="29:31" x14ac:dyDescent="0.25">
      <c r="AC737" s="11" t="s">
        <v>2471</v>
      </c>
      <c r="AD737" s="11" t="s">
        <v>1446</v>
      </c>
      <c r="AE737" s="11" t="s">
        <v>1903</v>
      </c>
    </row>
    <row r="738" spans="29:31" x14ac:dyDescent="0.25">
      <c r="AC738" s="11" t="s">
        <v>2472</v>
      </c>
      <c r="AD738" s="11" t="s">
        <v>1392</v>
      </c>
      <c r="AE738" s="11" t="s">
        <v>2261</v>
      </c>
    </row>
    <row r="739" spans="29:31" x14ac:dyDescent="0.25">
      <c r="AC739" s="11" t="s">
        <v>2473</v>
      </c>
      <c r="AD739" s="11" t="s">
        <v>1435</v>
      </c>
      <c r="AE739" s="11" t="s">
        <v>2474</v>
      </c>
    </row>
    <row r="740" spans="29:31" x14ac:dyDescent="0.25">
      <c r="AC740" s="11" t="s">
        <v>2475</v>
      </c>
      <c r="AD740" s="11" t="s">
        <v>1452</v>
      </c>
      <c r="AE740" s="11" t="s">
        <v>1460</v>
      </c>
    </row>
    <row r="741" spans="29:31" x14ac:dyDescent="0.25">
      <c r="AC741" s="11" t="s">
        <v>2476</v>
      </c>
      <c r="AD741" s="11" t="s">
        <v>1455</v>
      </c>
      <c r="AE741" s="11" t="s">
        <v>1579</v>
      </c>
    </row>
    <row r="742" spans="29:31" x14ac:dyDescent="0.25">
      <c r="AC742" s="11" t="s">
        <v>2477</v>
      </c>
      <c r="AD742" s="11" t="s">
        <v>1426</v>
      </c>
      <c r="AE742" s="11" t="s">
        <v>2478</v>
      </c>
    </row>
    <row r="743" spans="29:31" x14ac:dyDescent="0.25">
      <c r="AC743" s="11" t="s">
        <v>2479</v>
      </c>
      <c r="AD743" s="11" t="s">
        <v>1429</v>
      </c>
      <c r="AE743" s="11" t="s">
        <v>2423</v>
      </c>
    </row>
    <row r="744" spans="29:31" x14ac:dyDescent="0.25">
      <c r="AC744" s="11" t="s">
        <v>2480</v>
      </c>
      <c r="AD744" s="11" t="s">
        <v>1413</v>
      </c>
      <c r="AE744" s="11" t="s">
        <v>2266</v>
      </c>
    </row>
    <row r="745" spans="29:31" x14ac:dyDescent="0.25">
      <c r="AC745" s="11" t="s">
        <v>2481</v>
      </c>
      <c r="AD745" s="11" t="s">
        <v>1470</v>
      </c>
      <c r="AE745" s="11" t="s">
        <v>1688</v>
      </c>
    </row>
    <row r="746" spans="29:31" x14ac:dyDescent="0.25">
      <c r="AC746" s="11" t="s">
        <v>2482</v>
      </c>
      <c r="AD746" s="11" t="s">
        <v>1423</v>
      </c>
      <c r="AE746" s="11" t="s">
        <v>2202</v>
      </c>
    </row>
    <row r="747" spans="29:31" x14ac:dyDescent="0.25">
      <c r="AC747" s="11" t="s">
        <v>2483</v>
      </c>
      <c r="AD747" s="11" t="s">
        <v>1453</v>
      </c>
      <c r="AE747" s="11" t="s">
        <v>1581</v>
      </c>
    </row>
    <row r="748" spans="29:31" x14ac:dyDescent="0.25">
      <c r="AC748" s="11" t="s">
        <v>2484</v>
      </c>
      <c r="AD748" s="11" t="s">
        <v>1435</v>
      </c>
      <c r="AE748" s="11" t="s">
        <v>2485</v>
      </c>
    </row>
    <row r="749" spans="29:31" x14ac:dyDescent="0.25">
      <c r="AC749" s="11" t="s">
        <v>2486</v>
      </c>
      <c r="AD749" s="11" t="s">
        <v>1433</v>
      </c>
      <c r="AE749" s="11" t="s">
        <v>1918</v>
      </c>
    </row>
    <row r="750" spans="29:31" x14ac:dyDescent="0.25">
      <c r="AC750" s="11" t="s">
        <v>2487</v>
      </c>
      <c r="AD750" s="11" t="s">
        <v>1443</v>
      </c>
      <c r="AE750" s="11" t="s">
        <v>2488</v>
      </c>
    </row>
    <row r="751" spans="29:31" x14ac:dyDescent="0.25">
      <c r="AC751" s="11" t="s">
        <v>2489</v>
      </c>
      <c r="AD751" s="11" t="s">
        <v>1461</v>
      </c>
      <c r="AE751" s="11" t="s">
        <v>1985</v>
      </c>
    </row>
    <row r="752" spans="29:31" x14ac:dyDescent="0.25">
      <c r="AC752" s="11" t="s">
        <v>2490</v>
      </c>
      <c r="AD752" s="11" t="s">
        <v>1450</v>
      </c>
      <c r="AE752" s="11" t="s">
        <v>1839</v>
      </c>
    </row>
    <row r="753" spans="29:31" x14ac:dyDescent="0.25">
      <c r="AC753" s="11" t="s">
        <v>2491</v>
      </c>
      <c r="AD753" s="11" t="s">
        <v>1429</v>
      </c>
      <c r="AE753" s="11" t="s">
        <v>1740</v>
      </c>
    </row>
    <row r="754" spans="29:31" x14ac:dyDescent="0.25">
      <c r="AC754" s="11" t="s">
        <v>2492</v>
      </c>
      <c r="AD754" s="11" t="s">
        <v>1470</v>
      </c>
      <c r="AE754" s="11" t="s">
        <v>1449</v>
      </c>
    </row>
    <row r="755" spans="29:31" x14ac:dyDescent="0.25">
      <c r="AC755" s="11" t="s">
        <v>2493</v>
      </c>
      <c r="AD755" s="11" t="s">
        <v>1470</v>
      </c>
      <c r="AE755" s="11" t="s">
        <v>1644</v>
      </c>
    </row>
    <row r="756" spans="29:31" x14ac:dyDescent="0.25">
      <c r="AC756" s="11" t="s">
        <v>2494</v>
      </c>
      <c r="AD756" s="11" t="s">
        <v>1474</v>
      </c>
      <c r="AE756" s="11" t="s">
        <v>1756</v>
      </c>
    </row>
    <row r="757" spans="29:31" x14ac:dyDescent="0.25">
      <c r="AC757" s="11" t="s">
        <v>2495</v>
      </c>
      <c r="AD757" s="11" t="s">
        <v>1418</v>
      </c>
      <c r="AE757" s="11" t="s">
        <v>2342</v>
      </c>
    </row>
    <row r="758" spans="29:31" x14ac:dyDescent="0.25">
      <c r="AC758" s="11" t="s">
        <v>2496</v>
      </c>
      <c r="AD758" s="11" t="s">
        <v>1457</v>
      </c>
      <c r="AE758" s="11" t="s">
        <v>2455</v>
      </c>
    </row>
    <row r="759" spans="29:31" x14ac:dyDescent="0.25">
      <c r="AC759" s="11" t="s">
        <v>2497</v>
      </c>
      <c r="AD759" s="11" t="s">
        <v>1455</v>
      </c>
      <c r="AE759" s="11" t="s">
        <v>1864</v>
      </c>
    </row>
    <row r="760" spans="29:31" x14ac:dyDescent="0.25">
      <c r="AC760" s="11" t="s">
        <v>2498</v>
      </c>
      <c r="AD760" s="11" t="s">
        <v>1398</v>
      </c>
      <c r="AE760" s="11" t="s">
        <v>1738</v>
      </c>
    </row>
    <row r="761" spans="29:31" x14ac:dyDescent="0.25">
      <c r="AC761" s="11" t="s">
        <v>2499</v>
      </c>
      <c r="AD761" s="11" t="s">
        <v>1423</v>
      </c>
      <c r="AE761" s="11" t="s">
        <v>1718</v>
      </c>
    </row>
    <row r="762" spans="29:31" x14ac:dyDescent="0.25">
      <c r="AC762" s="11" t="s">
        <v>2500</v>
      </c>
      <c r="AD762" s="11" t="s">
        <v>1418</v>
      </c>
      <c r="AE762" s="11" t="s">
        <v>2501</v>
      </c>
    </row>
    <row r="763" spans="29:31" x14ac:dyDescent="0.25">
      <c r="AC763" s="11" t="s">
        <v>2502</v>
      </c>
      <c r="AD763" s="11" t="s">
        <v>1455</v>
      </c>
      <c r="AE763" s="11" t="s">
        <v>2503</v>
      </c>
    </row>
    <row r="764" spans="29:31" x14ac:dyDescent="0.25">
      <c r="AC764" s="11" t="s">
        <v>2504</v>
      </c>
      <c r="AD764" s="11" t="s">
        <v>1470</v>
      </c>
      <c r="AE764" s="11" t="s">
        <v>1471</v>
      </c>
    </row>
    <row r="765" spans="29:31" x14ac:dyDescent="0.25">
      <c r="AC765" s="11" t="s">
        <v>2505</v>
      </c>
      <c r="AD765" s="11" t="s">
        <v>1446</v>
      </c>
      <c r="AE765" s="11" t="s">
        <v>2243</v>
      </c>
    </row>
    <row r="766" spans="29:31" x14ac:dyDescent="0.25">
      <c r="AC766" s="11" t="s">
        <v>2506</v>
      </c>
      <c r="AD766" s="11" t="s">
        <v>1455</v>
      </c>
      <c r="AE766" s="11" t="s">
        <v>1668</v>
      </c>
    </row>
    <row r="767" spans="29:31" x14ac:dyDescent="0.25">
      <c r="AC767" s="11" t="s">
        <v>1270</v>
      </c>
      <c r="AD767" s="11" t="s">
        <v>1455</v>
      </c>
      <c r="AE767" s="11" t="s">
        <v>2507</v>
      </c>
    </row>
    <row r="768" spans="29:31" x14ac:dyDescent="0.25">
      <c r="AC768" s="11" t="s">
        <v>2508</v>
      </c>
      <c r="AD768" s="11" t="s">
        <v>1469</v>
      </c>
      <c r="AE768" s="11" t="s">
        <v>2509</v>
      </c>
    </row>
    <row r="769" spans="29:31" x14ac:dyDescent="0.25">
      <c r="AC769" s="11" t="s">
        <v>2510</v>
      </c>
      <c r="AD769" s="11" t="s">
        <v>1446</v>
      </c>
      <c r="AE769" s="11" t="s">
        <v>2511</v>
      </c>
    </row>
    <row r="770" spans="29:31" x14ac:dyDescent="0.25">
      <c r="AC770" s="11" t="s">
        <v>2512</v>
      </c>
      <c r="AD770" s="11" t="s">
        <v>1452</v>
      </c>
      <c r="AE770" s="11" t="s">
        <v>1447</v>
      </c>
    </row>
    <row r="771" spans="29:31" x14ac:dyDescent="0.25">
      <c r="AC771" s="11" t="s">
        <v>2513</v>
      </c>
      <c r="AD771" s="11" t="s">
        <v>1429</v>
      </c>
      <c r="AE771" s="11" t="s">
        <v>2317</v>
      </c>
    </row>
    <row r="772" spans="29:31" x14ac:dyDescent="0.25">
      <c r="AC772" s="11" t="s">
        <v>2514</v>
      </c>
      <c r="AD772" s="11" t="s">
        <v>1472</v>
      </c>
      <c r="AE772" s="11" t="s">
        <v>2261</v>
      </c>
    </row>
    <row r="773" spans="29:31" x14ac:dyDescent="0.25">
      <c r="AC773" s="11" t="s">
        <v>2515</v>
      </c>
      <c r="AD773" s="11" t="s">
        <v>1423</v>
      </c>
      <c r="AE773" s="11" t="s">
        <v>1554</v>
      </c>
    </row>
    <row r="774" spans="29:31" x14ac:dyDescent="0.25">
      <c r="AC774" s="11" t="s">
        <v>2516</v>
      </c>
      <c r="AD774" s="11" t="s">
        <v>1433</v>
      </c>
      <c r="AE774" s="11" t="s">
        <v>2517</v>
      </c>
    </row>
    <row r="775" spans="29:31" x14ac:dyDescent="0.25">
      <c r="AC775" s="11" t="s">
        <v>2518</v>
      </c>
      <c r="AD775" s="11" t="s">
        <v>1453</v>
      </c>
      <c r="AE775" s="11" t="s">
        <v>2519</v>
      </c>
    </row>
    <row r="776" spans="29:31" x14ac:dyDescent="0.25">
      <c r="AC776" s="11" t="s">
        <v>2520</v>
      </c>
      <c r="AD776" s="11" t="s">
        <v>1453</v>
      </c>
      <c r="AE776" s="11" t="s">
        <v>1791</v>
      </c>
    </row>
    <row r="777" spans="29:31" x14ac:dyDescent="0.25">
      <c r="AC777" s="11" t="s">
        <v>2521</v>
      </c>
      <c r="AD777" s="11" t="s">
        <v>1452</v>
      </c>
      <c r="AE777" s="11" t="s">
        <v>2243</v>
      </c>
    </row>
    <row r="778" spans="29:31" x14ac:dyDescent="0.25">
      <c r="AC778" s="11" t="s">
        <v>2522</v>
      </c>
      <c r="AD778" s="11" t="s">
        <v>1469</v>
      </c>
      <c r="AE778" s="11" t="s">
        <v>1883</v>
      </c>
    </row>
    <row r="779" spans="29:31" x14ac:dyDescent="0.25">
      <c r="AC779" s="11" t="s">
        <v>2523</v>
      </c>
      <c r="AD779" s="11" t="s">
        <v>1423</v>
      </c>
      <c r="AE779" s="11" t="s">
        <v>1825</v>
      </c>
    </row>
    <row r="780" spans="29:31" x14ac:dyDescent="0.25">
      <c r="AC780" s="11" t="s">
        <v>2524</v>
      </c>
      <c r="AD780" s="11" t="s">
        <v>1461</v>
      </c>
      <c r="AE780" s="11" t="s">
        <v>2525</v>
      </c>
    </row>
    <row r="781" spans="29:31" x14ac:dyDescent="0.25">
      <c r="AC781" s="11" t="s">
        <v>2526</v>
      </c>
      <c r="AD781" s="11" t="s">
        <v>1435</v>
      </c>
      <c r="AE781" s="11" t="s">
        <v>2509</v>
      </c>
    </row>
    <row r="782" spans="29:31" x14ac:dyDescent="0.25">
      <c r="AC782" s="11" t="s">
        <v>2527</v>
      </c>
      <c r="AD782" s="11" t="s">
        <v>1446</v>
      </c>
      <c r="AE782" s="11" t="s">
        <v>2014</v>
      </c>
    </row>
    <row r="783" spans="29:31" x14ac:dyDescent="0.25">
      <c r="AC783" s="11" t="s">
        <v>2528</v>
      </c>
      <c r="AD783" s="11" t="s">
        <v>1429</v>
      </c>
      <c r="AE783" s="11" t="s">
        <v>1537</v>
      </c>
    </row>
    <row r="784" spans="29:31" x14ac:dyDescent="0.25">
      <c r="AC784" s="11" t="s">
        <v>2529</v>
      </c>
      <c r="AD784" s="11" t="s">
        <v>1459</v>
      </c>
      <c r="AE784" s="11" t="s">
        <v>2053</v>
      </c>
    </row>
    <row r="785" spans="29:31" x14ac:dyDescent="0.25">
      <c r="AC785" s="11" t="s">
        <v>2530</v>
      </c>
      <c r="AD785" s="11" t="s">
        <v>1426</v>
      </c>
      <c r="AE785" s="11" t="s">
        <v>1447</v>
      </c>
    </row>
    <row r="786" spans="29:31" x14ac:dyDescent="0.25">
      <c r="AC786" s="11" t="s">
        <v>2531</v>
      </c>
      <c r="AD786" s="11" t="s">
        <v>1457</v>
      </c>
      <c r="AE786" s="11" t="s">
        <v>2051</v>
      </c>
    </row>
    <row r="787" spans="29:31" x14ac:dyDescent="0.25">
      <c r="AC787" s="11" t="s">
        <v>2532</v>
      </c>
      <c r="AD787" s="11" t="s">
        <v>1474</v>
      </c>
      <c r="AE787" s="11" t="s">
        <v>2533</v>
      </c>
    </row>
    <row r="788" spans="29:31" x14ac:dyDescent="0.25">
      <c r="AC788" s="11" t="s">
        <v>2534</v>
      </c>
      <c r="AD788" s="11" t="s">
        <v>1463</v>
      </c>
      <c r="AE788" s="11" t="s">
        <v>2200</v>
      </c>
    </row>
    <row r="789" spans="29:31" x14ac:dyDescent="0.25">
      <c r="AC789" s="11" t="s">
        <v>2535</v>
      </c>
      <c r="AD789" s="11" t="s">
        <v>1455</v>
      </c>
      <c r="AE789" s="11" t="s">
        <v>1763</v>
      </c>
    </row>
    <row r="790" spans="29:31" x14ac:dyDescent="0.25">
      <c r="AC790" s="11" t="s">
        <v>2536</v>
      </c>
      <c r="AD790" s="11" t="s">
        <v>1446</v>
      </c>
      <c r="AE790" s="11" t="s">
        <v>1664</v>
      </c>
    </row>
    <row r="791" spans="29:31" x14ac:dyDescent="0.25">
      <c r="AC791" s="11" t="s">
        <v>2537</v>
      </c>
      <c r="AD791" s="11" t="s">
        <v>1457</v>
      </c>
      <c r="AE791" s="11" t="s">
        <v>1475</v>
      </c>
    </row>
    <row r="792" spans="29:31" x14ac:dyDescent="0.25">
      <c r="AC792" s="11" t="s">
        <v>2538</v>
      </c>
      <c r="AD792" s="11" t="s">
        <v>1429</v>
      </c>
      <c r="AE792" s="11" t="s">
        <v>1520</v>
      </c>
    </row>
    <row r="793" spans="29:31" x14ac:dyDescent="0.25">
      <c r="AC793" s="11" t="s">
        <v>2539</v>
      </c>
      <c r="AD793" s="11" t="s">
        <v>1459</v>
      </c>
      <c r="AE793" s="11" t="s">
        <v>2540</v>
      </c>
    </row>
    <row r="794" spans="29:31" x14ac:dyDescent="0.25">
      <c r="AC794" s="11" t="s">
        <v>1268</v>
      </c>
      <c r="AD794" s="11" t="s">
        <v>1446</v>
      </c>
      <c r="AE794" s="11" t="s">
        <v>1879</v>
      </c>
    </row>
    <row r="795" spans="29:31" x14ac:dyDescent="0.25">
      <c r="AC795" s="11" t="s">
        <v>2541</v>
      </c>
      <c r="AD795" s="11" t="s">
        <v>1459</v>
      </c>
      <c r="AE795" s="11" t="s">
        <v>1744</v>
      </c>
    </row>
    <row r="796" spans="29:31" x14ac:dyDescent="0.25">
      <c r="AC796" s="11" t="s">
        <v>2542</v>
      </c>
      <c r="AD796" s="11" t="s">
        <v>1433</v>
      </c>
      <c r="AE796" s="11" t="s">
        <v>1800</v>
      </c>
    </row>
    <row r="797" spans="29:31" x14ac:dyDescent="0.25">
      <c r="AC797" s="11" t="s">
        <v>2543</v>
      </c>
      <c r="AD797" s="11" t="s">
        <v>1466</v>
      </c>
      <c r="AE797" s="11" t="s">
        <v>2234</v>
      </c>
    </row>
    <row r="798" spans="29:31" x14ac:dyDescent="0.25">
      <c r="AC798" s="11" t="s">
        <v>2544</v>
      </c>
      <c r="AD798" s="11" t="s">
        <v>1466</v>
      </c>
      <c r="AE798" s="11" t="s">
        <v>2433</v>
      </c>
    </row>
    <row r="799" spans="29:31" x14ac:dyDescent="0.25">
      <c r="AC799" s="11" t="s">
        <v>2545</v>
      </c>
      <c r="AD799" s="11" t="s">
        <v>1455</v>
      </c>
      <c r="AE799" s="11" t="s">
        <v>2546</v>
      </c>
    </row>
    <row r="800" spans="29:31" x14ac:dyDescent="0.25">
      <c r="AC800" s="11" t="s">
        <v>2547</v>
      </c>
      <c r="AD800" s="11" t="s">
        <v>1463</v>
      </c>
      <c r="AE800" s="11" t="s">
        <v>1693</v>
      </c>
    </row>
    <row r="801" spans="29:31" x14ac:dyDescent="0.25">
      <c r="AC801" s="11" t="s">
        <v>2548</v>
      </c>
      <c r="AD801" s="11" t="s">
        <v>1470</v>
      </c>
      <c r="AE801" s="11" t="s">
        <v>2549</v>
      </c>
    </row>
    <row r="802" spans="29:31" x14ac:dyDescent="0.25">
      <c r="AC802" s="11" t="s">
        <v>2550</v>
      </c>
      <c r="AD802" s="11" t="s">
        <v>1453</v>
      </c>
      <c r="AE802" s="11" t="s">
        <v>1512</v>
      </c>
    </row>
    <row r="803" spans="29:31" x14ac:dyDescent="0.25">
      <c r="AC803" s="11" t="s">
        <v>2551</v>
      </c>
      <c r="AD803" s="11" t="s">
        <v>1461</v>
      </c>
      <c r="AE803" s="11" t="s">
        <v>2552</v>
      </c>
    </row>
    <row r="804" spans="29:31" x14ac:dyDescent="0.25">
      <c r="AC804" s="11" t="s">
        <v>2553</v>
      </c>
      <c r="AD804" s="11" t="s">
        <v>1410</v>
      </c>
      <c r="AE804" s="11" t="s">
        <v>1793</v>
      </c>
    </row>
    <row r="805" spans="29:31" x14ac:dyDescent="0.25">
      <c r="AC805" s="11" t="s">
        <v>2554</v>
      </c>
      <c r="AD805" s="11" t="s">
        <v>1443</v>
      </c>
      <c r="AE805" s="11" t="s">
        <v>1449</v>
      </c>
    </row>
    <row r="806" spans="29:31" x14ac:dyDescent="0.25">
      <c r="AC806" s="11" t="s">
        <v>2555</v>
      </c>
      <c r="AD806" s="11" t="s">
        <v>1461</v>
      </c>
      <c r="AE806" s="11" t="s">
        <v>2556</v>
      </c>
    </row>
    <row r="807" spans="29:31" x14ac:dyDescent="0.25">
      <c r="AC807" s="11" t="s">
        <v>2557</v>
      </c>
      <c r="AD807" s="11" t="s">
        <v>1413</v>
      </c>
      <c r="AE807" s="11" t="s">
        <v>2276</v>
      </c>
    </row>
    <row r="808" spans="29:31" x14ac:dyDescent="0.25">
      <c r="AC808" s="11" t="s">
        <v>2558</v>
      </c>
      <c r="AD808" s="11" t="s">
        <v>1443</v>
      </c>
      <c r="AE808" s="11" t="s">
        <v>2419</v>
      </c>
    </row>
    <row r="809" spans="29:31" x14ac:dyDescent="0.25">
      <c r="AC809" s="11" t="s">
        <v>2559</v>
      </c>
      <c r="AD809" s="11" t="s">
        <v>1470</v>
      </c>
      <c r="AE809" s="11" t="s">
        <v>2560</v>
      </c>
    </row>
    <row r="810" spans="29:31" x14ac:dyDescent="0.25">
      <c r="AC810" s="11" t="s">
        <v>2561</v>
      </c>
      <c r="AD810" s="11" t="s">
        <v>1453</v>
      </c>
      <c r="AE810" s="11" t="s">
        <v>1468</v>
      </c>
    </row>
    <row r="811" spans="29:31" x14ac:dyDescent="0.25">
      <c r="AC811" s="11" t="s">
        <v>2562</v>
      </c>
      <c r="AD811" s="11" t="s">
        <v>1466</v>
      </c>
      <c r="AE811" s="11" t="s">
        <v>2563</v>
      </c>
    </row>
    <row r="812" spans="29:31" x14ac:dyDescent="0.25">
      <c r="AC812" s="11" t="s">
        <v>2564</v>
      </c>
      <c r="AD812" s="11" t="s">
        <v>1426</v>
      </c>
      <c r="AE812" s="11" t="s">
        <v>1874</v>
      </c>
    </row>
    <row r="813" spans="29:31" x14ac:dyDescent="0.25">
      <c r="AC813" s="11" t="s">
        <v>2565</v>
      </c>
      <c r="AD813" s="11" t="s">
        <v>1455</v>
      </c>
      <c r="AE813" s="11" t="s">
        <v>1483</v>
      </c>
    </row>
    <row r="814" spans="29:31" x14ac:dyDescent="0.25">
      <c r="AC814" s="11" t="s">
        <v>2566</v>
      </c>
      <c r="AD814" s="11" t="s">
        <v>1433</v>
      </c>
      <c r="AE814" s="11" t="s">
        <v>2051</v>
      </c>
    </row>
    <row r="815" spans="29:31" x14ac:dyDescent="0.25">
      <c r="AC815" s="11" t="s">
        <v>2567</v>
      </c>
      <c r="AD815" s="11" t="s">
        <v>1453</v>
      </c>
      <c r="AE815" s="11" t="s">
        <v>2568</v>
      </c>
    </row>
    <row r="816" spans="29:31" x14ac:dyDescent="0.25">
      <c r="AC816" s="11" t="s">
        <v>2569</v>
      </c>
      <c r="AD816" s="11" t="s">
        <v>1470</v>
      </c>
      <c r="AE816" s="11" t="s">
        <v>1511</v>
      </c>
    </row>
    <row r="817" spans="29:31" x14ac:dyDescent="0.25">
      <c r="AC817" s="11" t="s">
        <v>2570</v>
      </c>
      <c r="AD817" s="11" t="s">
        <v>1463</v>
      </c>
      <c r="AE817" s="11" t="s">
        <v>2571</v>
      </c>
    </row>
    <row r="818" spans="29:31" x14ac:dyDescent="0.25">
      <c r="AC818" s="11" t="s">
        <v>2572</v>
      </c>
      <c r="AD818" s="11" t="s">
        <v>1403</v>
      </c>
      <c r="AE818" s="11" t="s">
        <v>1475</v>
      </c>
    </row>
    <row r="819" spans="29:31" x14ac:dyDescent="0.25">
      <c r="AC819" s="11" t="s">
        <v>2573</v>
      </c>
      <c r="AD819" s="11" t="s">
        <v>1406</v>
      </c>
      <c r="AE819" s="11" t="s">
        <v>2574</v>
      </c>
    </row>
    <row r="820" spans="29:31" x14ac:dyDescent="0.25">
      <c r="AC820" s="11" t="s">
        <v>2575</v>
      </c>
      <c r="AD820" s="11" t="s">
        <v>1433</v>
      </c>
      <c r="AE820" s="11" t="s">
        <v>1479</v>
      </c>
    </row>
    <row r="821" spans="29:31" x14ac:dyDescent="0.25">
      <c r="AC821" s="11" t="s">
        <v>2576</v>
      </c>
      <c r="AD821" s="11" t="s">
        <v>1423</v>
      </c>
      <c r="AE821" s="11" t="s">
        <v>2227</v>
      </c>
    </row>
    <row r="822" spans="29:31" x14ac:dyDescent="0.25">
      <c r="AC822" s="11" t="s">
        <v>2577</v>
      </c>
      <c r="AD822" s="11" t="s">
        <v>1463</v>
      </c>
      <c r="AE822" s="11" t="s">
        <v>2578</v>
      </c>
    </row>
    <row r="823" spans="29:31" x14ac:dyDescent="0.25">
      <c r="AC823" s="11" t="s">
        <v>2579</v>
      </c>
      <c r="AD823" s="11" t="s">
        <v>1472</v>
      </c>
      <c r="AE823" s="11" t="s">
        <v>1666</v>
      </c>
    </row>
    <row r="824" spans="29:31" x14ac:dyDescent="0.25">
      <c r="AC824" s="11" t="s">
        <v>2580</v>
      </c>
      <c r="AD824" s="11" t="s">
        <v>1469</v>
      </c>
      <c r="AE824" s="11" t="s">
        <v>2165</v>
      </c>
    </row>
    <row r="825" spans="29:31" x14ac:dyDescent="0.25">
      <c r="AC825" s="11" t="s">
        <v>2581</v>
      </c>
      <c r="AD825" s="11" t="s">
        <v>1418</v>
      </c>
      <c r="AE825" s="11" t="s">
        <v>2276</v>
      </c>
    </row>
    <row r="826" spans="29:31" x14ac:dyDescent="0.25">
      <c r="AC826" s="11" t="s">
        <v>2582</v>
      </c>
      <c r="AD826" s="11" t="s">
        <v>1426</v>
      </c>
      <c r="AE826" s="11" t="s">
        <v>2583</v>
      </c>
    </row>
    <row r="827" spans="29:31" x14ac:dyDescent="0.25">
      <c r="AC827" s="11" t="s">
        <v>2584</v>
      </c>
      <c r="AD827" s="11" t="s">
        <v>1455</v>
      </c>
      <c r="AE827" s="11" t="s">
        <v>1712</v>
      </c>
    </row>
    <row r="828" spans="29:31" x14ac:dyDescent="0.25">
      <c r="AC828" s="11" t="s">
        <v>2585</v>
      </c>
      <c r="AD828" s="11" t="s">
        <v>1472</v>
      </c>
      <c r="AE828" s="11" t="s">
        <v>1860</v>
      </c>
    </row>
    <row r="829" spans="29:31" x14ac:dyDescent="0.25">
      <c r="AC829" s="11" t="s">
        <v>2586</v>
      </c>
      <c r="AD829" s="11" t="s">
        <v>1453</v>
      </c>
      <c r="AE829" s="11" t="s">
        <v>1766</v>
      </c>
    </row>
    <row r="830" spans="29:31" x14ac:dyDescent="0.25">
      <c r="AC830" s="11" t="s">
        <v>2587</v>
      </c>
      <c r="AD830" s="11" t="s">
        <v>1469</v>
      </c>
      <c r="AE830" s="11" t="s">
        <v>1493</v>
      </c>
    </row>
    <row r="831" spans="29:31" x14ac:dyDescent="0.25">
      <c r="AC831" s="11" t="s">
        <v>2588</v>
      </c>
      <c r="AD831" s="11" t="s">
        <v>1418</v>
      </c>
      <c r="AE831" s="11" t="s">
        <v>1841</v>
      </c>
    </row>
    <row r="832" spans="29:31" x14ac:dyDescent="0.25">
      <c r="AC832" s="11" t="s">
        <v>2589</v>
      </c>
      <c r="AD832" s="11" t="s">
        <v>1474</v>
      </c>
      <c r="AE832" s="11" t="s">
        <v>1778</v>
      </c>
    </row>
    <row r="833" spans="29:31" x14ac:dyDescent="0.25">
      <c r="AC833" s="11" t="s">
        <v>2590</v>
      </c>
      <c r="AD833" s="11" t="s">
        <v>1423</v>
      </c>
      <c r="AE833" s="11" t="s">
        <v>2591</v>
      </c>
    </row>
    <row r="834" spans="29:31" x14ac:dyDescent="0.25">
      <c r="AC834" s="11" t="s">
        <v>2592</v>
      </c>
      <c r="AD834" s="11" t="s">
        <v>1457</v>
      </c>
      <c r="AE834" s="11" t="s">
        <v>1475</v>
      </c>
    </row>
    <row r="835" spans="29:31" x14ac:dyDescent="0.25">
      <c r="AC835" s="11" t="s">
        <v>2593</v>
      </c>
      <c r="AD835" s="11" t="s">
        <v>1466</v>
      </c>
      <c r="AE835" s="11" t="s">
        <v>2594</v>
      </c>
    </row>
    <row r="836" spans="29:31" x14ac:dyDescent="0.25">
      <c r="AC836" s="11" t="s">
        <v>2595</v>
      </c>
      <c r="AD836" s="11" t="s">
        <v>1461</v>
      </c>
      <c r="AE836" s="11" t="s">
        <v>2184</v>
      </c>
    </row>
    <row r="837" spans="29:31" x14ac:dyDescent="0.25">
      <c r="AC837" s="11" t="s">
        <v>2596</v>
      </c>
      <c r="AD837" s="11" t="s">
        <v>1398</v>
      </c>
      <c r="AE837" s="11" t="s">
        <v>2597</v>
      </c>
    </row>
    <row r="838" spans="29:31" x14ac:dyDescent="0.25">
      <c r="AC838" s="11" t="s">
        <v>2598</v>
      </c>
      <c r="AD838" s="11" t="s">
        <v>1410</v>
      </c>
      <c r="AE838" s="11" t="s">
        <v>1547</v>
      </c>
    </row>
    <row r="839" spans="29:31" x14ac:dyDescent="0.25">
      <c r="AC839" s="11" t="s">
        <v>2599</v>
      </c>
      <c r="AD839" s="11" t="s">
        <v>1435</v>
      </c>
      <c r="AE839" s="11" t="s">
        <v>1548</v>
      </c>
    </row>
    <row r="840" spans="29:31" x14ac:dyDescent="0.25">
      <c r="AC840" s="11" t="s">
        <v>2600</v>
      </c>
      <c r="AD840" s="11" t="s">
        <v>1455</v>
      </c>
      <c r="AE840" s="11" t="s">
        <v>2272</v>
      </c>
    </row>
    <row r="841" spans="29:31" x14ac:dyDescent="0.25">
      <c r="AC841" s="11" t="s">
        <v>2601</v>
      </c>
      <c r="AD841" s="11" t="s">
        <v>1403</v>
      </c>
      <c r="AE841" s="11" t="s">
        <v>1549</v>
      </c>
    </row>
    <row r="842" spans="29:31" x14ac:dyDescent="0.25">
      <c r="AC842" s="11" t="s">
        <v>2602</v>
      </c>
      <c r="AD842" s="11" t="s">
        <v>1403</v>
      </c>
      <c r="AE842" s="11" t="s">
        <v>1482</v>
      </c>
    </row>
    <row r="843" spans="29:31" x14ac:dyDescent="0.25">
      <c r="AC843" s="11" t="s">
        <v>2603</v>
      </c>
      <c r="AD843" s="11" t="s">
        <v>1457</v>
      </c>
      <c r="AE843" s="11" t="s">
        <v>2193</v>
      </c>
    </row>
    <row r="844" spans="29:31" x14ac:dyDescent="0.25">
      <c r="AC844" s="11" t="s">
        <v>2604</v>
      </c>
      <c r="AD844" s="11" t="s">
        <v>1472</v>
      </c>
      <c r="AE844" s="11" t="s">
        <v>1559</v>
      </c>
    </row>
    <row r="845" spans="29:31" x14ac:dyDescent="0.25">
      <c r="AC845" s="11" t="s">
        <v>2605</v>
      </c>
      <c r="AD845" s="11" t="s">
        <v>1472</v>
      </c>
      <c r="AE845" s="11" t="s">
        <v>2606</v>
      </c>
    </row>
    <row r="846" spans="29:31" x14ac:dyDescent="0.25">
      <c r="AC846" s="11" t="s">
        <v>2607</v>
      </c>
      <c r="AD846" s="11" t="s">
        <v>1410</v>
      </c>
      <c r="AE846" s="11" t="s">
        <v>2608</v>
      </c>
    </row>
    <row r="847" spans="29:31" x14ac:dyDescent="0.25">
      <c r="AC847" s="11" t="s">
        <v>2609</v>
      </c>
      <c r="AD847" s="11" t="s">
        <v>1418</v>
      </c>
      <c r="AE847" s="11" t="s">
        <v>2610</v>
      </c>
    </row>
    <row r="848" spans="29:31" x14ac:dyDescent="0.25">
      <c r="AC848" s="11" t="s">
        <v>2611</v>
      </c>
      <c r="AD848" s="11" t="s">
        <v>1446</v>
      </c>
      <c r="AE848" s="11" t="s">
        <v>1810</v>
      </c>
    </row>
    <row r="849" spans="29:31" x14ac:dyDescent="0.25">
      <c r="AC849" s="11" t="s">
        <v>2612</v>
      </c>
      <c r="AD849" s="11" t="s">
        <v>1466</v>
      </c>
      <c r="AE849" s="11" t="s">
        <v>1475</v>
      </c>
    </row>
    <row r="850" spans="29:31" x14ac:dyDescent="0.25">
      <c r="AC850" s="11" t="s">
        <v>2613</v>
      </c>
      <c r="AD850" s="11" t="s">
        <v>1452</v>
      </c>
      <c r="AE850" s="11" t="s">
        <v>1554</v>
      </c>
    </row>
    <row r="851" spans="29:31" x14ac:dyDescent="0.25">
      <c r="AC851" s="11" t="s">
        <v>2614</v>
      </c>
      <c r="AD851" s="11" t="s">
        <v>1452</v>
      </c>
      <c r="AE851" s="11" t="s">
        <v>2124</v>
      </c>
    </row>
    <row r="852" spans="29:31" x14ac:dyDescent="0.25">
      <c r="AC852" s="11" t="s">
        <v>2615</v>
      </c>
      <c r="AD852" s="11" t="s">
        <v>1452</v>
      </c>
      <c r="AE852" s="11" t="s">
        <v>1823</v>
      </c>
    </row>
    <row r="853" spans="29:31" x14ac:dyDescent="0.25">
      <c r="AC853" s="11" t="s">
        <v>2616</v>
      </c>
      <c r="AD853" s="11" t="s">
        <v>1463</v>
      </c>
      <c r="AE853" s="11" t="s">
        <v>2289</v>
      </c>
    </row>
    <row r="854" spans="29:31" x14ac:dyDescent="0.25">
      <c r="AC854" s="11" t="s">
        <v>2617</v>
      </c>
      <c r="AD854" s="11" t="s">
        <v>1474</v>
      </c>
      <c r="AE854" s="11" t="s">
        <v>2618</v>
      </c>
    </row>
    <row r="855" spans="29:31" x14ac:dyDescent="0.25">
      <c r="AC855" s="11" t="s">
        <v>2619</v>
      </c>
      <c r="AD855" s="11" t="s">
        <v>1463</v>
      </c>
      <c r="AE855" s="11" t="s">
        <v>2620</v>
      </c>
    </row>
    <row r="856" spans="29:31" x14ac:dyDescent="0.25">
      <c r="AC856" s="11" t="s">
        <v>2621</v>
      </c>
      <c r="AD856" s="11" t="s">
        <v>1463</v>
      </c>
      <c r="AE856" s="11" t="s">
        <v>2622</v>
      </c>
    </row>
    <row r="857" spans="29:31" x14ac:dyDescent="0.25">
      <c r="AC857" s="11" t="s">
        <v>2623</v>
      </c>
      <c r="AD857" s="11" t="s">
        <v>1413</v>
      </c>
      <c r="AE857" s="11" t="s">
        <v>2129</v>
      </c>
    </row>
    <row r="858" spans="29:31" x14ac:dyDescent="0.25">
      <c r="AC858" s="11" t="s">
        <v>2624</v>
      </c>
      <c r="AD858" s="11" t="s">
        <v>1395</v>
      </c>
      <c r="AE858" s="11" t="s">
        <v>1449</v>
      </c>
    </row>
    <row r="859" spans="29:31" x14ac:dyDescent="0.25">
      <c r="AC859" s="11" t="s">
        <v>2625</v>
      </c>
      <c r="AD859" s="11" t="s">
        <v>1426</v>
      </c>
      <c r="AE859" s="11" t="s">
        <v>2533</v>
      </c>
    </row>
    <row r="860" spans="29:31" x14ac:dyDescent="0.25">
      <c r="AC860" s="11" t="s">
        <v>2626</v>
      </c>
      <c r="AD860" s="11" t="s">
        <v>1403</v>
      </c>
      <c r="AE860" s="11" t="s">
        <v>2627</v>
      </c>
    </row>
    <row r="861" spans="29:31" x14ac:dyDescent="0.25">
      <c r="AC861" s="11" t="s">
        <v>2628</v>
      </c>
      <c r="AD861" s="11" t="s">
        <v>1470</v>
      </c>
      <c r="AE861" s="11" t="s">
        <v>2574</v>
      </c>
    </row>
    <row r="862" spans="29:31" x14ac:dyDescent="0.25">
      <c r="AC862" s="11" t="s">
        <v>2629</v>
      </c>
      <c r="AD862" s="11" t="s">
        <v>1418</v>
      </c>
      <c r="AE862" s="11" t="s">
        <v>2333</v>
      </c>
    </row>
    <row r="863" spans="29:31" x14ac:dyDescent="0.25">
      <c r="AC863" s="11" t="s">
        <v>2630</v>
      </c>
      <c r="AD863" s="11" t="s">
        <v>1455</v>
      </c>
      <c r="AE863" s="11" t="s">
        <v>1547</v>
      </c>
    </row>
    <row r="864" spans="29:31" x14ac:dyDescent="0.25">
      <c r="AC864" s="11" t="s">
        <v>2631</v>
      </c>
      <c r="AD864" s="11" t="s">
        <v>1410</v>
      </c>
      <c r="AE864" s="11" t="s">
        <v>2632</v>
      </c>
    </row>
    <row r="865" spans="29:31" x14ac:dyDescent="0.25">
      <c r="AC865" s="11" t="s">
        <v>2633</v>
      </c>
      <c r="AD865" s="11" t="s">
        <v>1429</v>
      </c>
      <c r="AE865" s="11" t="s">
        <v>2099</v>
      </c>
    </row>
    <row r="866" spans="29:31" x14ac:dyDescent="0.25">
      <c r="AC866" s="11" t="s">
        <v>2634</v>
      </c>
      <c r="AD866" s="11" t="s">
        <v>1463</v>
      </c>
      <c r="AE866" s="11" t="s">
        <v>2635</v>
      </c>
    </row>
    <row r="867" spans="29:31" x14ac:dyDescent="0.25">
      <c r="AC867" s="11" t="s">
        <v>2636</v>
      </c>
      <c r="AD867" s="11" t="s">
        <v>1470</v>
      </c>
      <c r="AE867" s="11" t="s">
        <v>1955</v>
      </c>
    </row>
    <row r="868" spans="29:31" x14ac:dyDescent="0.25">
      <c r="AC868" s="11" t="s">
        <v>2637</v>
      </c>
      <c r="AD868" s="11" t="s">
        <v>1413</v>
      </c>
      <c r="AE868" s="11" t="s">
        <v>1700</v>
      </c>
    </row>
    <row r="869" spans="29:31" x14ac:dyDescent="0.25">
      <c r="AC869" s="11" t="s">
        <v>2638</v>
      </c>
      <c r="AD869" s="11" t="s">
        <v>1418</v>
      </c>
      <c r="AE869" s="11" t="s">
        <v>1810</v>
      </c>
    </row>
    <row r="870" spans="29:31" x14ac:dyDescent="0.25">
      <c r="AC870" s="11" t="s">
        <v>2639</v>
      </c>
      <c r="AD870" s="11" t="s">
        <v>1450</v>
      </c>
      <c r="AE870" s="11" t="s">
        <v>1491</v>
      </c>
    </row>
    <row r="871" spans="29:31" x14ac:dyDescent="0.25">
      <c r="AC871" s="11" t="s">
        <v>2640</v>
      </c>
      <c r="AD871" s="11" t="s">
        <v>1448</v>
      </c>
      <c r="AE871" s="11" t="s">
        <v>1571</v>
      </c>
    </row>
    <row r="872" spans="29:31" x14ac:dyDescent="0.25">
      <c r="AC872" s="11" t="s">
        <v>2641</v>
      </c>
      <c r="AD872" s="11" t="s">
        <v>1463</v>
      </c>
      <c r="AE872" s="11" t="s">
        <v>2084</v>
      </c>
    </row>
    <row r="873" spans="29:31" x14ac:dyDescent="0.25">
      <c r="AC873" s="11" t="s">
        <v>2642</v>
      </c>
      <c r="AD873" s="11" t="s">
        <v>1433</v>
      </c>
      <c r="AE873" s="11" t="s">
        <v>2643</v>
      </c>
    </row>
    <row r="874" spans="29:31" x14ac:dyDescent="0.25">
      <c r="AC874" s="11" t="s">
        <v>2644</v>
      </c>
      <c r="AD874" s="11" t="s">
        <v>1455</v>
      </c>
      <c r="AE874" s="11" t="s">
        <v>1953</v>
      </c>
    </row>
    <row r="875" spans="29:31" x14ac:dyDescent="0.25">
      <c r="AC875" s="11" t="s">
        <v>2645</v>
      </c>
      <c r="AD875" s="11" t="s">
        <v>1469</v>
      </c>
      <c r="AE875" s="11" t="s">
        <v>1914</v>
      </c>
    </row>
    <row r="876" spans="29:31" x14ac:dyDescent="0.25">
      <c r="AC876" s="11" t="s">
        <v>2646</v>
      </c>
      <c r="AD876" s="11" t="s">
        <v>1443</v>
      </c>
      <c r="AE876" s="11" t="s">
        <v>2298</v>
      </c>
    </row>
    <row r="877" spans="29:31" x14ac:dyDescent="0.25">
      <c r="AC877" s="11" t="s">
        <v>2647</v>
      </c>
      <c r="AD877" s="11" t="s">
        <v>1406</v>
      </c>
      <c r="AE877" s="11" t="s">
        <v>1944</v>
      </c>
    </row>
    <row r="878" spans="29:31" x14ac:dyDescent="0.25">
      <c r="AC878" s="11" t="s">
        <v>2648</v>
      </c>
      <c r="AD878" s="11" t="s">
        <v>1474</v>
      </c>
      <c r="AE878" s="11" t="s">
        <v>2286</v>
      </c>
    </row>
    <row r="879" spans="29:31" x14ac:dyDescent="0.25">
      <c r="AC879" s="11" t="s">
        <v>2649</v>
      </c>
      <c r="AD879" s="11" t="s">
        <v>1470</v>
      </c>
      <c r="AE879" s="11" t="s">
        <v>2317</v>
      </c>
    </row>
    <row r="880" spans="29:31" x14ac:dyDescent="0.25">
      <c r="AC880" s="11" t="s">
        <v>2650</v>
      </c>
      <c r="AD880" s="11" t="s">
        <v>1426</v>
      </c>
      <c r="AE880" s="11" t="s">
        <v>2162</v>
      </c>
    </row>
    <row r="881" spans="29:31" x14ac:dyDescent="0.25">
      <c r="AC881" s="11" t="s">
        <v>2651</v>
      </c>
      <c r="AD881" s="11" t="s">
        <v>1426</v>
      </c>
      <c r="AE881" s="11" t="s">
        <v>1985</v>
      </c>
    </row>
    <row r="882" spans="29:31" x14ac:dyDescent="0.25">
      <c r="AC882" s="11" t="s">
        <v>2652</v>
      </c>
      <c r="AD882" s="11" t="s">
        <v>1470</v>
      </c>
      <c r="AE882" s="11" t="s">
        <v>2037</v>
      </c>
    </row>
    <row r="883" spans="29:31" x14ac:dyDescent="0.25">
      <c r="AC883" s="11" t="s">
        <v>2653</v>
      </c>
      <c r="AD883" s="11" t="s">
        <v>1466</v>
      </c>
      <c r="AE883" s="11" t="s">
        <v>1810</v>
      </c>
    </row>
    <row r="884" spans="29:31" x14ac:dyDescent="0.25">
      <c r="AC884" s="11" t="s">
        <v>2654</v>
      </c>
      <c r="AD884" s="11" t="s">
        <v>1463</v>
      </c>
      <c r="AE884" s="11" t="s">
        <v>1909</v>
      </c>
    </row>
    <row r="885" spans="29:31" x14ac:dyDescent="0.25">
      <c r="AC885" s="11" t="s">
        <v>2655</v>
      </c>
      <c r="AD885" s="11" t="s">
        <v>1446</v>
      </c>
      <c r="AE885" s="11" t="s">
        <v>2656</v>
      </c>
    </row>
    <row r="886" spans="29:31" x14ac:dyDescent="0.25">
      <c r="AC886" s="11" t="s">
        <v>2657</v>
      </c>
      <c r="AD886" s="11" t="s">
        <v>1453</v>
      </c>
      <c r="AE886" s="11" t="s">
        <v>2658</v>
      </c>
    </row>
    <row r="887" spans="29:31" x14ac:dyDescent="0.25">
      <c r="AC887" s="11" t="s">
        <v>2659</v>
      </c>
      <c r="AD887" s="11" t="s">
        <v>1470</v>
      </c>
      <c r="AE887" s="11" t="s">
        <v>1511</v>
      </c>
    </row>
    <row r="888" spans="29:31" x14ac:dyDescent="0.25">
      <c r="AC888" s="11" t="s">
        <v>2660</v>
      </c>
      <c r="AD888" s="11" t="s">
        <v>1453</v>
      </c>
      <c r="AE888" s="11" t="s">
        <v>1686</v>
      </c>
    </row>
    <row r="889" spans="29:31" x14ac:dyDescent="0.25">
      <c r="AC889" s="11" t="s">
        <v>2661</v>
      </c>
      <c r="AD889" s="11" t="s">
        <v>1457</v>
      </c>
      <c r="AE889" s="11" t="s">
        <v>1478</v>
      </c>
    </row>
    <row r="890" spans="29:31" x14ac:dyDescent="0.25">
      <c r="AC890" s="11" t="s">
        <v>2662</v>
      </c>
      <c r="AD890" s="11" t="s">
        <v>1435</v>
      </c>
      <c r="AE890" s="11" t="s">
        <v>1724</v>
      </c>
    </row>
    <row r="891" spans="29:31" x14ac:dyDescent="0.25">
      <c r="AC891" s="11" t="s">
        <v>2663</v>
      </c>
      <c r="AD891" s="11" t="s">
        <v>1472</v>
      </c>
      <c r="AE891" s="11" t="s">
        <v>1511</v>
      </c>
    </row>
    <row r="892" spans="29:31" x14ac:dyDescent="0.25">
      <c r="AC892" s="11" t="s">
        <v>2664</v>
      </c>
      <c r="AD892" s="11" t="s">
        <v>1457</v>
      </c>
      <c r="AE892" s="11" t="s">
        <v>2009</v>
      </c>
    </row>
    <row r="893" spans="29:31" x14ac:dyDescent="0.25">
      <c r="AC893" s="11" t="s">
        <v>2665</v>
      </c>
      <c r="AD893" s="11" t="s">
        <v>1469</v>
      </c>
      <c r="AE893" s="11" t="s">
        <v>2666</v>
      </c>
    </row>
    <row r="894" spans="29:31" x14ac:dyDescent="0.25">
      <c r="AC894" s="11" t="s">
        <v>2667</v>
      </c>
      <c r="AD894" s="11" t="s">
        <v>1446</v>
      </c>
      <c r="AE894" s="11" t="s">
        <v>1598</v>
      </c>
    </row>
    <row r="895" spans="29:31" x14ac:dyDescent="0.25">
      <c r="AC895" s="11" t="s">
        <v>2668</v>
      </c>
      <c r="AD895" s="11" t="s">
        <v>1466</v>
      </c>
      <c r="AE895" s="11" t="s">
        <v>2127</v>
      </c>
    </row>
    <row r="896" spans="29:31" x14ac:dyDescent="0.25">
      <c r="AC896" s="11" t="s">
        <v>2669</v>
      </c>
      <c r="AD896" s="11" t="s">
        <v>1453</v>
      </c>
      <c r="AE896" s="11" t="s">
        <v>2077</v>
      </c>
    </row>
    <row r="897" spans="29:31" x14ac:dyDescent="0.25">
      <c r="AC897" s="11" t="s">
        <v>2670</v>
      </c>
      <c r="AD897" s="11" t="s">
        <v>1446</v>
      </c>
      <c r="AE897" s="11" t="s">
        <v>2671</v>
      </c>
    </row>
    <row r="898" spans="29:31" x14ac:dyDescent="0.25">
      <c r="AC898" s="11" t="s">
        <v>2672</v>
      </c>
      <c r="AD898" s="11" t="s">
        <v>1455</v>
      </c>
      <c r="AE898" s="11" t="s">
        <v>2673</v>
      </c>
    </row>
    <row r="899" spans="29:31" x14ac:dyDescent="0.25">
      <c r="AC899" s="11" t="s">
        <v>2674</v>
      </c>
      <c r="AD899" s="11" t="s">
        <v>1446</v>
      </c>
      <c r="AE899" s="11" t="s">
        <v>2124</v>
      </c>
    </row>
    <row r="900" spans="29:31" x14ac:dyDescent="0.25">
      <c r="AC900" s="11" t="s">
        <v>2675</v>
      </c>
      <c r="AD900" s="11" t="s">
        <v>1459</v>
      </c>
      <c r="AE900" s="11" t="s">
        <v>2409</v>
      </c>
    </row>
    <row r="901" spans="29:31" x14ac:dyDescent="0.25">
      <c r="AC901" s="11" t="s">
        <v>2676</v>
      </c>
      <c r="AD901" s="11" t="s">
        <v>1443</v>
      </c>
      <c r="AE901" s="11" t="s">
        <v>2677</v>
      </c>
    </row>
    <row r="902" spans="29:31" x14ac:dyDescent="0.25">
      <c r="AC902" s="11" t="s">
        <v>2678</v>
      </c>
      <c r="AD902" s="11" t="s">
        <v>1435</v>
      </c>
      <c r="AE902" s="11" t="s">
        <v>1921</v>
      </c>
    </row>
    <row r="903" spans="29:31" x14ac:dyDescent="0.25">
      <c r="AC903" s="11" t="s">
        <v>2679</v>
      </c>
      <c r="AD903" s="11" t="s">
        <v>1469</v>
      </c>
      <c r="AE903" s="11" t="s">
        <v>2680</v>
      </c>
    </row>
    <row r="904" spans="29:31" x14ac:dyDescent="0.25">
      <c r="AC904" s="11" t="s">
        <v>2681</v>
      </c>
      <c r="AD904" s="11" t="s">
        <v>1413</v>
      </c>
      <c r="AE904" s="11" t="s">
        <v>2221</v>
      </c>
    </row>
    <row r="905" spans="29:31" x14ac:dyDescent="0.25">
      <c r="AC905" s="11" t="s">
        <v>2682</v>
      </c>
      <c r="AD905" s="11" t="s">
        <v>1457</v>
      </c>
      <c r="AE905" s="11" t="s">
        <v>1971</v>
      </c>
    </row>
    <row r="906" spans="29:31" x14ac:dyDescent="0.25">
      <c r="AC906" s="11" t="s">
        <v>2683</v>
      </c>
      <c r="AD906" s="11" t="s">
        <v>1459</v>
      </c>
      <c r="AE906" s="11" t="s">
        <v>1724</v>
      </c>
    </row>
    <row r="907" spans="29:31" x14ac:dyDescent="0.25">
      <c r="AC907" s="11" t="s">
        <v>2684</v>
      </c>
      <c r="AD907" s="11" t="s">
        <v>1403</v>
      </c>
      <c r="AE907" s="11" t="s">
        <v>1874</v>
      </c>
    </row>
    <row r="908" spans="29:31" x14ac:dyDescent="0.25">
      <c r="AC908" s="11" t="s">
        <v>2685</v>
      </c>
      <c r="AD908" s="11" t="s">
        <v>1455</v>
      </c>
      <c r="AE908" s="11" t="s">
        <v>2043</v>
      </c>
    </row>
    <row r="909" spans="29:31" x14ac:dyDescent="0.25">
      <c r="AC909" s="11" t="s">
        <v>2686</v>
      </c>
      <c r="AD909" s="11" t="s">
        <v>1472</v>
      </c>
      <c r="AE909" s="11" t="s">
        <v>1456</v>
      </c>
    </row>
    <row r="910" spans="29:31" x14ac:dyDescent="0.25">
      <c r="AC910" s="11" t="s">
        <v>2687</v>
      </c>
      <c r="AD910" s="11" t="s">
        <v>1403</v>
      </c>
      <c r="AE910" s="11" t="s">
        <v>2447</v>
      </c>
    </row>
    <row r="911" spans="29:31" x14ac:dyDescent="0.25">
      <c r="AC911" s="11" t="s">
        <v>2688</v>
      </c>
      <c r="AD911" s="11" t="s">
        <v>1470</v>
      </c>
      <c r="AE911" s="11" t="s">
        <v>2689</v>
      </c>
    </row>
    <row r="912" spans="29:31" x14ac:dyDescent="0.25">
      <c r="AC912" s="11" t="s">
        <v>2690</v>
      </c>
      <c r="AD912" s="11" t="s">
        <v>1443</v>
      </c>
      <c r="AE912" s="11" t="s">
        <v>1732</v>
      </c>
    </row>
    <row r="913" spans="29:31" x14ac:dyDescent="0.25">
      <c r="AC913" s="11" t="s">
        <v>2691</v>
      </c>
      <c r="AD913" s="11" t="s">
        <v>1474</v>
      </c>
      <c r="AE913" s="11" t="s">
        <v>2447</v>
      </c>
    </row>
    <row r="914" spans="29:31" x14ac:dyDescent="0.25">
      <c r="AC914" s="11" t="s">
        <v>2692</v>
      </c>
      <c r="AD914" s="11" t="s">
        <v>1429</v>
      </c>
      <c r="AE914" s="11" t="s">
        <v>2693</v>
      </c>
    </row>
    <row r="915" spans="29:31" x14ac:dyDescent="0.25">
      <c r="AC915" s="11" t="s">
        <v>2694</v>
      </c>
      <c r="AD915" s="11" t="s">
        <v>1406</v>
      </c>
      <c r="AE915" s="11" t="s">
        <v>2695</v>
      </c>
    </row>
    <row r="916" spans="29:31" x14ac:dyDescent="0.25">
      <c r="AC916" s="11" t="s">
        <v>2696</v>
      </c>
      <c r="AD916" s="11" t="s">
        <v>1461</v>
      </c>
      <c r="AE916" s="11" t="s">
        <v>1556</v>
      </c>
    </row>
    <row r="917" spans="29:31" x14ac:dyDescent="0.25">
      <c r="AC917" s="11" t="s">
        <v>2697</v>
      </c>
      <c r="AD917" s="11" t="s">
        <v>1453</v>
      </c>
      <c r="AE917" s="11" t="s">
        <v>1449</v>
      </c>
    </row>
    <row r="918" spans="29:31" x14ac:dyDescent="0.25">
      <c r="AC918" s="11" t="s">
        <v>2698</v>
      </c>
      <c r="AD918" s="11" t="s">
        <v>1469</v>
      </c>
      <c r="AE918" s="11" t="s">
        <v>1815</v>
      </c>
    </row>
    <row r="919" spans="29:31" x14ac:dyDescent="0.25">
      <c r="AC919" s="11" t="s">
        <v>2699</v>
      </c>
      <c r="AD919" s="11" t="s">
        <v>1446</v>
      </c>
      <c r="AE919" s="11" t="s">
        <v>1554</v>
      </c>
    </row>
    <row r="920" spans="29:31" x14ac:dyDescent="0.25">
      <c r="AC920" s="11" t="s">
        <v>2700</v>
      </c>
      <c r="AD920" s="11" t="s">
        <v>1410</v>
      </c>
      <c r="AE920" s="11" t="s">
        <v>2162</v>
      </c>
    </row>
    <row r="921" spans="29:31" x14ac:dyDescent="0.25">
      <c r="AC921" s="11" t="s">
        <v>2701</v>
      </c>
      <c r="AD921" s="11" t="s">
        <v>1452</v>
      </c>
      <c r="AE921" s="11" t="s">
        <v>1499</v>
      </c>
    </row>
    <row r="922" spans="29:31" x14ac:dyDescent="0.25">
      <c r="AC922" s="11" t="s">
        <v>2702</v>
      </c>
      <c r="AD922" s="11" t="s">
        <v>1461</v>
      </c>
      <c r="AE922" s="11" t="s">
        <v>1510</v>
      </c>
    </row>
    <row r="923" spans="29:31" x14ac:dyDescent="0.25">
      <c r="AC923" s="11" t="s">
        <v>2703</v>
      </c>
      <c r="AD923" s="11" t="s">
        <v>1426</v>
      </c>
      <c r="AE923" s="11" t="s">
        <v>1485</v>
      </c>
    </row>
    <row r="924" spans="29:31" x14ac:dyDescent="0.25">
      <c r="AC924" s="11" t="s">
        <v>2704</v>
      </c>
      <c r="AD924" s="11" t="s">
        <v>1455</v>
      </c>
      <c r="AE924" s="11" t="s">
        <v>1738</v>
      </c>
    </row>
    <row r="925" spans="29:31" x14ac:dyDescent="0.25">
      <c r="AC925" s="11" t="s">
        <v>2705</v>
      </c>
      <c r="AD925" s="11" t="s">
        <v>1469</v>
      </c>
      <c r="AE925" s="11" t="s">
        <v>1493</v>
      </c>
    </row>
    <row r="926" spans="29:31" x14ac:dyDescent="0.25">
      <c r="AC926" s="11" t="s">
        <v>2706</v>
      </c>
      <c r="AD926" s="11" t="s">
        <v>1472</v>
      </c>
      <c r="AE926" s="11" t="s">
        <v>2707</v>
      </c>
    </row>
    <row r="927" spans="29:31" x14ac:dyDescent="0.25">
      <c r="AC927" s="11" t="s">
        <v>2708</v>
      </c>
      <c r="AD927" s="11" t="s">
        <v>1452</v>
      </c>
      <c r="AE927" s="11" t="s">
        <v>1825</v>
      </c>
    </row>
    <row r="928" spans="29:31" x14ac:dyDescent="0.25">
      <c r="AC928" s="11" t="s">
        <v>2709</v>
      </c>
      <c r="AD928" s="11" t="s">
        <v>1423</v>
      </c>
      <c r="AE928" s="11" t="s">
        <v>1552</v>
      </c>
    </row>
    <row r="929" spans="29:31" x14ac:dyDescent="0.25">
      <c r="AC929" s="11" t="s">
        <v>2710</v>
      </c>
      <c r="AD929" s="11" t="s">
        <v>1435</v>
      </c>
      <c r="AE929" s="11" t="s">
        <v>1522</v>
      </c>
    </row>
    <row r="930" spans="29:31" x14ac:dyDescent="0.25">
      <c r="AC930" s="11" t="s">
        <v>1266</v>
      </c>
      <c r="AD930" s="11" t="s">
        <v>1470</v>
      </c>
      <c r="AE930" s="11" t="s">
        <v>2207</v>
      </c>
    </row>
    <row r="931" spans="29:31" x14ac:dyDescent="0.25">
      <c r="AC931" s="11" t="s">
        <v>2711</v>
      </c>
      <c r="AD931" s="11" t="s">
        <v>1469</v>
      </c>
      <c r="AE931" s="11" t="s">
        <v>1797</v>
      </c>
    </row>
    <row r="932" spans="29:31" x14ac:dyDescent="0.25">
      <c r="AC932" s="11" t="s">
        <v>2712</v>
      </c>
      <c r="AD932" s="11" t="s">
        <v>1413</v>
      </c>
      <c r="AE932" s="11" t="s">
        <v>2713</v>
      </c>
    </row>
    <row r="933" spans="29:31" x14ac:dyDescent="0.25">
      <c r="AC933" s="11" t="s">
        <v>2714</v>
      </c>
      <c r="AD933" s="11" t="s">
        <v>1435</v>
      </c>
      <c r="AE933" s="11" t="s">
        <v>2238</v>
      </c>
    </row>
    <row r="934" spans="29:31" x14ac:dyDescent="0.25">
      <c r="AC934" s="11" t="s">
        <v>2715</v>
      </c>
      <c r="AD934" s="11" t="s">
        <v>1429</v>
      </c>
      <c r="AE934" s="11" t="s">
        <v>2578</v>
      </c>
    </row>
    <row r="935" spans="29:31" x14ac:dyDescent="0.25">
      <c r="AC935" s="11" t="s">
        <v>2716</v>
      </c>
      <c r="AD935" s="11" t="s">
        <v>1395</v>
      </c>
      <c r="AE935" s="11" t="s">
        <v>2717</v>
      </c>
    </row>
    <row r="936" spans="29:31" x14ac:dyDescent="0.25">
      <c r="AC936" s="11" t="s">
        <v>2718</v>
      </c>
      <c r="AD936" s="11" t="s">
        <v>1452</v>
      </c>
      <c r="AE936" s="11" t="s">
        <v>1547</v>
      </c>
    </row>
    <row r="937" spans="29:31" x14ac:dyDescent="0.25">
      <c r="AC937" s="11" t="s">
        <v>2719</v>
      </c>
      <c r="AD937" s="11" t="s">
        <v>1469</v>
      </c>
      <c r="AE937" s="11" t="s">
        <v>2266</v>
      </c>
    </row>
    <row r="938" spans="29:31" x14ac:dyDescent="0.25">
      <c r="AC938" s="11" t="s">
        <v>2720</v>
      </c>
      <c r="AD938" s="11" t="s">
        <v>1426</v>
      </c>
      <c r="AE938" s="11" t="s">
        <v>1529</v>
      </c>
    </row>
    <row r="939" spans="29:31" x14ac:dyDescent="0.25">
      <c r="AC939" s="11" t="s">
        <v>2721</v>
      </c>
      <c r="AD939" s="11" t="s">
        <v>1446</v>
      </c>
      <c r="AE939" s="11" t="s">
        <v>1491</v>
      </c>
    </row>
    <row r="940" spans="29:31" x14ac:dyDescent="0.25">
      <c r="AC940" s="11" t="s">
        <v>2722</v>
      </c>
      <c r="AD940" s="11" t="s">
        <v>1459</v>
      </c>
      <c r="AE940" s="11" t="s">
        <v>1738</v>
      </c>
    </row>
    <row r="941" spans="29:31" x14ac:dyDescent="0.25">
      <c r="AC941" s="11" t="s">
        <v>2723</v>
      </c>
      <c r="AD941" s="11" t="s">
        <v>1398</v>
      </c>
      <c r="AE941" s="11" t="s">
        <v>1800</v>
      </c>
    </row>
    <row r="942" spans="29:31" x14ac:dyDescent="0.25">
      <c r="AC942" s="11" t="s">
        <v>2724</v>
      </c>
      <c r="AD942" s="11" t="s">
        <v>1469</v>
      </c>
      <c r="AE942" s="11" t="s">
        <v>1503</v>
      </c>
    </row>
    <row r="943" spans="29:31" x14ac:dyDescent="0.25">
      <c r="AC943" s="11" t="s">
        <v>2725</v>
      </c>
      <c r="AD943" s="11" t="s">
        <v>1453</v>
      </c>
      <c r="AE943" s="11" t="s">
        <v>1804</v>
      </c>
    </row>
    <row r="944" spans="29:31" x14ac:dyDescent="0.25">
      <c r="AC944" s="11" t="s">
        <v>2726</v>
      </c>
      <c r="AD944" s="11" t="s">
        <v>1426</v>
      </c>
      <c r="AE944" s="11" t="s">
        <v>2727</v>
      </c>
    </row>
    <row r="945" spans="29:31" x14ac:dyDescent="0.25">
      <c r="AC945" s="11" t="s">
        <v>2728</v>
      </c>
      <c r="AD945" s="11" t="s">
        <v>1459</v>
      </c>
      <c r="AE945" s="11" t="s">
        <v>1862</v>
      </c>
    </row>
    <row r="946" spans="29:31" x14ac:dyDescent="0.25">
      <c r="AC946" s="11" t="s">
        <v>2729</v>
      </c>
      <c r="AD946" s="11" t="s">
        <v>1459</v>
      </c>
      <c r="AE946" s="11" t="s">
        <v>1548</v>
      </c>
    </row>
    <row r="947" spans="29:31" x14ac:dyDescent="0.25">
      <c r="AC947" s="11" t="s">
        <v>2730</v>
      </c>
      <c r="AD947" s="11" t="s">
        <v>1429</v>
      </c>
      <c r="AE947" s="11" t="s">
        <v>1656</v>
      </c>
    </row>
    <row r="948" spans="29:31" x14ac:dyDescent="0.25">
      <c r="AC948" s="11" t="s">
        <v>2731</v>
      </c>
      <c r="AD948" s="11" t="s">
        <v>1435</v>
      </c>
      <c r="AE948" s="11" t="s">
        <v>1516</v>
      </c>
    </row>
    <row r="949" spans="29:31" x14ac:dyDescent="0.25">
      <c r="AC949" s="11" t="s">
        <v>2732</v>
      </c>
      <c r="AD949" s="11" t="s">
        <v>1469</v>
      </c>
      <c r="AE949" s="11" t="s">
        <v>1616</v>
      </c>
    </row>
    <row r="950" spans="29:31" x14ac:dyDescent="0.25">
      <c r="AC950" s="11" t="s">
        <v>2733</v>
      </c>
      <c r="AD950" s="11" t="s">
        <v>1455</v>
      </c>
      <c r="AE950" s="11" t="s">
        <v>1573</v>
      </c>
    </row>
    <row r="951" spans="29:31" x14ac:dyDescent="0.25">
      <c r="AC951" s="11" t="s">
        <v>2734</v>
      </c>
      <c r="AD951" s="11" t="s">
        <v>1418</v>
      </c>
      <c r="AE951" s="11" t="s">
        <v>1797</v>
      </c>
    </row>
    <row r="952" spans="29:31" x14ac:dyDescent="0.25">
      <c r="AC952" s="11" t="s">
        <v>2735</v>
      </c>
      <c r="AD952" s="11" t="s">
        <v>1457</v>
      </c>
      <c r="AE952" s="11" t="s">
        <v>1926</v>
      </c>
    </row>
    <row r="953" spans="29:31" x14ac:dyDescent="0.25">
      <c r="AC953" s="11" t="s">
        <v>2736</v>
      </c>
      <c r="AD953" s="11" t="s">
        <v>1469</v>
      </c>
      <c r="AE953" s="11" t="s">
        <v>2737</v>
      </c>
    </row>
    <row r="954" spans="29:31" x14ac:dyDescent="0.25">
      <c r="AC954" s="11" t="s">
        <v>2738</v>
      </c>
      <c r="AD954" s="11" t="s">
        <v>1470</v>
      </c>
      <c r="AE954" s="11" t="s">
        <v>2739</v>
      </c>
    </row>
    <row r="955" spans="29:31" x14ac:dyDescent="0.25">
      <c r="AC955" s="11" t="s">
        <v>2740</v>
      </c>
      <c r="AD955" s="11" t="s">
        <v>1433</v>
      </c>
      <c r="AE955" s="11" t="s">
        <v>2292</v>
      </c>
    </row>
    <row r="956" spans="29:31" x14ac:dyDescent="0.25">
      <c r="AC956" s="11" t="s">
        <v>2741</v>
      </c>
      <c r="AD956" s="11" t="s">
        <v>1466</v>
      </c>
      <c r="AE956" s="11" t="s">
        <v>1643</v>
      </c>
    </row>
    <row r="957" spans="29:31" x14ac:dyDescent="0.25">
      <c r="AC957" s="11" t="s">
        <v>2742</v>
      </c>
      <c r="AD957" s="11" t="s">
        <v>1426</v>
      </c>
      <c r="AE957" s="11" t="s">
        <v>2743</v>
      </c>
    </row>
    <row r="958" spans="29:31" x14ac:dyDescent="0.25">
      <c r="AC958" s="11" t="s">
        <v>2744</v>
      </c>
      <c r="AD958" s="11" t="s">
        <v>1443</v>
      </c>
      <c r="AE958" s="11" t="s">
        <v>1823</v>
      </c>
    </row>
    <row r="959" spans="29:31" x14ac:dyDescent="0.25">
      <c r="AC959" s="11" t="s">
        <v>2745</v>
      </c>
      <c r="AD959" s="11" t="s">
        <v>1452</v>
      </c>
      <c r="AE959" s="11" t="s">
        <v>2314</v>
      </c>
    </row>
    <row r="960" spans="29:31" x14ac:dyDescent="0.25">
      <c r="AC960" s="11" t="s">
        <v>2746</v>
      </c>
      <c r="AD960" s="11" t="s">
        <v>1459</v>
      </c>
      <c r="AE960" s="11" t="s">
        <v>1664</v>
      </c>
    </row>
    <row r="961" spans="29:31" x14ac:dyDescent="0.25">
      <c r="AC961" s="11" t="s">
        <v>2747</v>
      </c>
      <c r="AD961" s="11" t="s">
        <v>1472</v>
      </c>
      <c r="AE961" s="11" t="s">
        <v>2748</v>
      </c>
    </row>
    <row r="962" spans="29:31" x14ac:dyDescent="0.25">
      <c r="AC962" s="11" t="s">
        <v>2749</v>
      </c>
      <c r="AD962" s="11" t="s">
        <v>1395</v>
      </c>
      <c r="AE962" s="11" t="s">
        <v>1821</v>
      </c>
    </row>
  </sheetData>
  <pageMargins left="0.7" right="0.7" top="0.75" bottom="0.75" header="0.3" footer="0.3"/>
  <pageSetup paperSize="9" orientation="portrait" r:id="rId1"/>
  <tableParts count="9">
    <tablePart r:id="rId2"/>
    <tablePart r:id="rId3"/>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6EC4A-6B9C-4A7F-985C-0F7EB9C1E19B}">
  <sheetPr codeName="Feuil3"/>
  <dimension ref="A1"/>
  <sheetViews>
    <sheetView topLeftCell="B1" workbookViewId="0">
      <selection activeCell="S2" sqref="S2"/>
    </sheetView>
  </sheetViews>
  <sheetFormatPr baseColWidth="10" defaultColWidth="11.4257812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39F84-10CE-4512-A9FC-45100F045AC8}">
  <sheetPr codeName="Feuil4"/>
  <dimension ref="A1"/>
  <sheetViews>
    <sheetView workbookViewId="0">
      <selection activeCell="H37" sqref="H37"/>
    </sheetView>
  </sheetViews>
  <sheetFormatPr baseColWidth="10" defaultColWidth="9.140625"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D92E3-7EF1-4A46-8055-3B510162256D}">
  <sheetPr codeName="Feuil5"/>
  <dimension ref="A2:P50"/>
  <sheetViews>
    <sheetView zoomScale="110" zoomScaleNormal="110" workbookViewId="0">
      <selection activeCell="D34" sqref="D34"/>
    </sheetView>
  </sheetViews>
  <sheetFormatPr baseColWidth="10" defaultColWidth="11.42578125" defaultRowHeight="15" x14ac:dyDescent="0.25"/>
  <cols>
    <col min="2" max="2" width="13" bestFit="1" customWidth="1"/>
    <col min="3" max="3" width="16.5703125" bestFit="1" customWidth="1"/>
    <col min="14" max="14" width="26.85546875" bestFit="1" customWidth="1"/>
  </cols>
  <sheetData>
    <row r="2" spans="1:16" x14ac:dyDescent="0.25">
      <c r="A2" s="22" t="s">
        <v>1222</v>
      </c>
      <c r="B2" s="23"/>
      <c r="C2" s="23"/>
      <c r="D2" s="23"/>
      <c r="E2" s="23"/>
      <c r="F2" s="23"/>
      <c r="G2" s="23"/>
      <c r="H2" s="23"/>
      <c r="I2" s="23"/>
      <c r="J2" s="23"/>
      <c r="K2" s="23"/>
      <c r="L2" s="23"/>
      <c r="M2" s="23"/>
      <c r="N2" s="23"/>
      <c r="O2" s="23"/>
      <c r="P2" s="23"/>
    </row>
    <row r="3" spans="1:16" x14ac:dyDescent="0.25">
      <c r="A3" s="23"/>
      <c r="B3" s="23"/>
      <c r="C3" s="23"/>
      <c r="D3" s="23"/>
      <c r="E3" s="23"/>
      <c r="F3" s="23"/>
      <c r="G3" s="23"/>
      <c r="H3" s="23"/>
      <c r="I3" s="23"/>
      <c r="J3" s="23"/>
      <c r="K3" s="23"/>
      <c r="L3" s="23"/>
      <c r="M3" s="23"/>
      <c r="N3" s="23"/>
      <c r="O3" s="23"/>
      <c r="P3" s="23"/>
    </row>
    <row r="4" spans="1:16" x14ac:dyDescent="0.25">
      <c r="A4" s="23"/>
      <c r="B4" s="23"/>
      <c r="C4" s="23"/>
      <c r="D4" s="23"/>
      <c r="E4" s="23"/>
      <c r="F4" s="23"/>
      <c r="G4" s="23"/>
      <c r="H4" s="23"/>
      <c r="I4" s="23"/>
      <c r="J4" s="23"/>
      <c r="K4" s="23"/>
      <c r="L4" s="23"/>
      <c r="M4" s="23"/>
      <c r="N4" s="23"/>
      <c r="O4" s="23"/>
      <c r="P4" s="23"/>
    </row>
    <row r="7" spans="1:16" x14ac:dyDescent="0.25">
      <c r="N7" s="4" t="s">
        <v>3</v>
      </c>
    </row>
    <row r="8" spans="1:16" x14ac:dyDescent="0.25">
      <c r="N8" t="s">
        <v>13</v>
      </c>
    </row>
    <row r="9" spans="1:16" x14ac:dyDescent="0.25">
      <c r="N9" t="s">
        <v>19</v>
      </c>
    </row>
    <row r="10" spans="1:16" x14ac:dyDescent="0.25">
      <c r="N10" t="s">
        <v>25</v>
      </c>
    </row>
    <row r="11" spans="1:16" x14ac:dyDescent="0.25">
      <c r="N11" t="s">
        <v>31</v>
      </c>
    </row>
    <row r="12" spans="1:16" x14ac:dyDescent="0.25">
      <c r="N12" t="s">
        <v>37</v>
      </c>
    </row>
    <row r="13" spans="1:16" x14ac:dyDescent="0.25">
      <c r="N13" t="s">
        <v>42</v>
      </c>
    </row>
    <row r="14" spans="1:16" x14ac:dyDescent="0.25">
      <c r="N14" t="s">
        <v>47</v>
      </c>
    </row>
    <row r="15" spans="1:16" x14ac:dyDescent="0.25">
      <c r="N15" t="s">
        <v>52</v>
      </c>
    </row>
    <row r="16" spans="1:16" x14ac:dyDescent="0.25">
      <c r="B16" s="4" t="s">
        <v>1</v>
      </c>
      <c r="C16" t="s">
        <v>1223</v>
      </c>
      <c r="N16" t="s">
        <v>56</v>
      </c>
    </row>
    <row r="17" spans="2:14" x14ac:dyDescent="0.25">
      <c r="B17" t="s">
        <v>12</v>
      </c>
      <c r="C17">
        <v>64</v>
      </c>
      <c r="N17" t="s">
        <v>60</v>
      </c>
    </row>
    <row r="18" spans="2:14" x14ac:dyDescent="0.25">
      <c r="B18" t="s">
        <v>18</v>
      </c>
      <c r="C18">
        <v>66</v>
      </c>
      <c r="N18" t="s">
        <v>64</v>
      </c>
    </row>
    <row r="19" spans="2:14" x14ac:dyDescent="0.25">
      <c r="B19" t="s">
        <v>24</v>
      </c>
      <c r="C19">
        <v>60</v>
      </c>
      <c r="N19" t="s">
        <v>68</v>
      </c>
    </row>
    <row r="20" spans="2:14" x14ac:dyDescent="0.25">
      <c r="B20" t="s">
        <v>30</v>
      </c>
      <c r="C20">
        <v>57</v>
      </c>
      <c r="N20" t="s">
        <v>72</v>
      </c>
    </row>
    <row r="21" spans="2:14" x14ac:dyDescent="0.25">
      <c r="B21" t="s">
        <v>36</v>
      </c>
      <c r="C21">
        <v>58</v>
      </c>
      <c r="N21" t="s">
        <v>76</v>
      </c>
    </row>
    <row r="22" spans="2:14" x14ac:dyDescent="0.25">
      <c r="B22" t="s">
        <v>41</v>
      </c>
      <c r="C22">
        <v>68</v>
      </c>
      <c r="N22" t="s">
        <v>80</v>
      </c>
    </row>
    <row r="23" spans="2:14" x14ac:dyDescent="0.25">
      <c r="B23" t="s">
        <v>46</v>
      </c>
      <c r="C23">
        <v>62</v>
      </c>
      <c r="N23" t="s">
        <v>84</v>
      </c>
    </row>
    <row r="24" spans="2:14" x14ac:dyDescent="0.25">
      <c r="B24" t="s">
        <v>51</v>
      </c>
      <c r="C24">
        <v>69</v>
      </c>
      <c r="N24" t="s">
        <v>87</v>
      </c>
    </row>
    <row r="25" spans="2:14" x14ac:dyDescent="0.25">
      <c r="B25" t="s">
        <v>55</v>
      </c>
      <c r="C25">
        <v>73</v>
      </c>
      <c r="N25" t="s">
        <v>90</v>
      </c>
    </row>
    <row r="26" spans="2:14" x14ac:dyDescent="0.25">
      <c r="B26" t="s">
        <v>59</v>
      </c>
      <c r="C26">
        <v>61</v>
      </c>
      <c r="N26" t="s">
        <v>93</v>
      </c>
    </row>
    <row r="27" spans="2:14" x14ac:dyDescent="0.25">
      <c r="B27" t="s">
        <v>63</v>
      </c>
      <c r="C27">
        <v>56</v>
      </c>
      <c r="N27" t="s">
        <v>96</v>
      </c>
    </row>
    <row r="28" spans="2:14" x14ac:dyDescent="0.25">
      <c r="B28" t="s">
        <v>67</v>
      </c>
      <c r="C28">
        <v>51</v>
      </c>
      <c r="N28" t="s">
        <v>99</v>
      </c>
    </row>
    <row r="29" spans="2:14" x14ac:dyDescent="0.25">
      <c r="B29" t="s">
        <v>71</v>
      </c>
      <c r="C29">
        <v>63</v>
      </c>
      <c r="N29" t="s">
        <v>102</v>
      </c>
    </row>
    <row r="30" spans="2:14" x14ac:dyDescent="0.25">
      <c r="B30" t="s">
        <v>75</v>
      </c>
      <c r="C30">
        <v>61</v>
      </c>
      <c r="N30" t="s">
        <v>105</v>
      </c>
    </row>
    <row r="31" spans="2:14" x14ac:dyDescent="0.25">
      <c r="B31" t="s">
        <v>79</v>
      </c>
      <c r="C31">
        <v>74</v>
      </c>
      <c r="N31" t="s">
        <v>108</v>
      </c>
    </row>
    <row r="32" spans="2:14" x14ac:dyDescent="0.25">
      <c r="B32" t="s">
        <v>83</v>
      </c>
      <c r="C32">
        <v>57</v>
      </c>
      <c r="N32" t="s">
        <v>111</v>
      </c>
    </row>
    <row r="33" spans="2:14" x14ac:dyDescent="0.25">
      <c r="B33" t="s">
        <v>1224</v>
      </c>
      <c r="C33">
        <v>1000</v>
      </c>
      <c r="N33" t="s">
        <v>114</v>
      </c>
    </row>
    <row r="34" spans="2:14" x14ac:dyDescent="0.25">
      <c r="N34" t="s">
        <v>117</v>
      </c>
    </row>
    <row r="35" spans="2:14" x14ac:dyDescent="0.25">
      <c r="N35" t="s">
        <v>120</v>
      </c>
    </row>
    <row r="36" spans="2:14" x14ac:dyDescent="0.25">
      <c r="N36" t="s">
        <v>123</v>
      </c>
    </row>
    <row r="37" spans="2:14" x14ac:dyDescent="0.25">
      <c r="N37" t="s">
        <v>126</v>
      </c>
    </row>
    <row r="38" spans="2:14" x14ac:dyDescent="0.25">
      <c r="N38" t="s">
        <v>129</v>
      </c>
    </row>
    <row r="39" spans="2:14" x14ac:dyDescent="0.25">
      <c r="N39" t="s">
        <v>132</v>
      </c>
    </row>
    <row r="40" spans="2:14" x14ac:dyDescent="0.25">
      <c r="N40" t="s">
        <v>135</v>
      </c>
    </row>
    <row r="41" spans="2:14" x14ac:dyDescent="0.25">
      <c r="N41" t="s">
        <v>138</v>
      </c>
    </row>
    <row r="42" spans="2:14" x14ac:dyDescent="0.25">
      <c r="N42" t="s">
        <v>141</v>
      </c>
    </row>
    <row r="43" spans="2:14" x14ac:dyDescent="0.25">
      <c r="N43" t="s">
        <v>144</v>
      </c>
    </row>
    <row r="44" spans="2:14" x14ac:dyDescent="0.25">
      <c r="N44" t="s">
        <v>147</v>
      </c>
    </row>
    <row r="45" spans="2:14" x14ac:dyDescent="0.25">
      <c r="N45" t="s">
        <v>150</v>
      </c>
    </row>
    <row r="46" spans="2:14" x14ac:dyDescent="0.25">
      <c r="N46" t="s">
        <v>153</v>
      </c>
    </row>
    <row r="47" spans="2:14" x14ac:dyDescent="0.25">
      <c r="N47" t="s">
        <v>156</v>
      </c>
    </row>
    <row r="48" spans="2:14" x14ac:dyDescent="0.25">
      <c r="N48" t="s">
        <v>159</v>
      </c>
    </row>
    <row r="49" spans="14:14" x14ac:dyDescent="0.25">
      <c r="N49" t="s">
        <v>162</v>
      </c>
    </row>
    <row r="50" spans="14:14" x14ac:dyDescent="0.25">
      <c r="N50" t="s">
        <v>1224</v>
      </c>
    </row>
  </sheetData>
  <mergeCells count="1">
    <mergeCell ref="A2:P4"/>
  </mergeCells>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33321-911B-40DC-8763-DA254016E51E}">
  <sheetPr codeName="Feuil6"/>
  <dimension ref="A2:S607"/>
  <sheetViews>
    <sheetView workbookViewId="0">
      <selection activeCell="A8" sqref="A8"/>
    </sheetView>
  </sheetViews>
  <sheetFormatPr baseColWidth="10" defaultColWidth="11.42578125" defaultRowHeight="15" x14ac:dyDescent="0.25"/>
  <cols>
    <col min="2" max="2" width="12" bestFit="1" customWidth="1"/>
    <col min="4" max="4" width="13" bestFit="1" customWidth="1"/>
    <col min="5" max="5" width="17.140625" bestFit="1" customWidth="1"/>
    <col min="6" max="7" width="22.7109375" bestFit="1" customWidth="1"/>
    <col min="9" max="9" width="15.42578125" bestFit="1" customWidth="1"/>
    <col min="10" max="10" width="14" bestFit="1" customWidth="1"/>
    <col min="11" max="11" width="12.28515625" customWidth="1"/>
    <col min="12" max="12" width="19.140625" customWidth="1"/>
    <col min="13" max="14" width="24.5703125" customWidth="1"/>
    <col min="15" max="15" width="25" bestFit="1" customWidth="1"/>
    <col min="16" max="16" width="16.140625" bestFit="1" customWidth="1"/>
    <col min="17" max="17" width="19.42578125" bestFit="1" customWidth="1"/>
    <col min="18" max="20" width="25" bestFit="1" customWidth="1"/>
    <col min="21" max="21" width="10.42578125" customWidth="1"/>
    <col min="22" max="22" width="14.140625" customWidth="1"/>
    <col min="23" max="23" width="12.7109375" customWidth="1"/>
    <col min="24" max="24" width="12.28515625" customWidth="1"/>
    <col min="25" max="25" width="19.140625" customWidth="1"/>
    <col min="26" max="27" width="24.5703125" customWidth="1"/>
    <col min="28" max="28" width="9.140625" bestFit="1" customWidth="1"/>
    <col min="29" max="29" width="10" bestFit="1" customWidth="1"/>
    <col min="30" max="30" width="9.85546875" bestFit="1" customWidth="1"/>
    <col min="31" max="31" width="9.140625" bestFit="1" customWidth="1"/>
    <col min="32" max="32" width="7.42578125" bestFit="1" customWidth="1"/>
    <col min="33" max="33" width="11.28515625" bestFit="1" customWidth="1"/>
    <col min="34" max="34" width="8.5703125" bestFit="1" customWidth="1"/>
    <col min="35" max="35" width="4.5703125" bestFit="1" customWidth="1"/>
    <col min="36" max="36" width="8.42578125" bestFit="1" customWidth="1"/>
    <col min="37" max="37" width="4.7109375" bestFit="1" customWidth="1"/>
    <col min="38" max="38" width="8.5703125" bestFit="1" customWidth="1"/>
    <col min="39" max="39" width="8.140625" bestFit="1" customWidth="1"/>
    <col min="40" max="40" width="12.5703125" bestFit="1" customWidth="1"/>
  </cols>
  <sheetData>
    <row r="2" spans="1:19" x14ac:dyDescent="0.25">
      <c r="A2" s="22" t="s">
        <v>1225</v>
      </c>
      <c r="B2" s="22"/>
      <c r="C2" s="22"/>
      <c r="D2" s="22"/>
      <c r="E2" s="22"/>
      <c r="F2" s="22"/>
      <c r="G2" s="22"/>
      <c r="H2" s="22"/>
      <c r="I2" s="22"/>
      <c r="J2" s="22"/>
      <c r="K2" s="22"/>
      <c r="L2" s="22"/>
      <c r="M2" s="22"/>
      <c r="N2" s="22"/>
      <c r="O2" s="22"/>
      <c r="P2" s="22"/>
      <c r="Q2" s="22"/>
      <c r="R2" s="22"/>
      <c r="S2" s="22"/>
    </row>
    <row r="3" spans="1:19" x14ac:dyDescent="0.25">
      <c r="A3" s="22"/>
      <c r="B3" s="22"/>
      <c r="C3" s="22"/>
      <c r="D3" s="22"/>
      <c r="E3" s="22"/>
      <c r="F3" s="22"/>
      <c r="G3" s="22"/>
      <c r="H3" s="22"/>
      <c r="I3" s="22"/>
      <c r="J3" s="22"/>
      <c r="K3" s="22"/>
      <c r="L3" s="22"/>
      <c r="M3" s="22"/>
      <c r="N3" s="22"/>
      <c r="O3" s="22"/>
      <c r="P3" s="22"/>
      <c r="Q3" s="22"/>
      <c r="R3" s="22"/>
      <c r="S3" s="22"/>
    </row>
    <row r="4" spans="1:19" x14ac:dyDescent="0.25">
      <c r="A4" s="22"/>
      <c r="B4" s="22"/>
      <c r="C4" s="22"/>
      <c r="D4" s="22"/>
      <c r="E4" s="22"/>
      <c r="F4" s="22"/>
      <c r="G4" s="22"/>
      <c r="H4" s="22"/>
      <c r="I4" s="22"/>
      <c r="J4" s="22"/>
      <c r="K4" s="22"/>
      <c r="L4" s="22"/>
      <c r="M4" s="22"/>
      <c r="N4" s="22"/>
      <c r="O4" s="22"/>
      <c r="P4" s="22"/>
      <c r="Q4" s="22"/>
      <c r="R4" s="22"/>
      <c r="S4" s="22"/>
    </row>
    <row r="8" spans="1:19" x14ac:dyDescent="0.25">
      <c r="A8" t="s">
        <v>2762</v>
      </c>
      <c r="B8" t="s">
        <v>4</v>
      </c>
      <c r="C8" t="s">
        <v>5</v>
      </c>
      <c r="D8" t="s">
        <v>6</v>
      </c>
      <c r="E8" t="s">
        <v>7</v>
      </c>
      <c r="F8" t="s">
        <v>8</v>
      </c>
      <c r="G8" t="s">
        <v>9</v>
      </c>
      <c r="I8" t="s">
        <v>2762</v>
      </c>
      <c r="J8" t="s">
        <v>4</v>
      </c>
      <c r="K8" t="s">
        <v>5</v>
      </c>
      <c r="L8" t="s">
        <v>6</v>
      </c>
      <c r="M8" t="s">
        <v>7</v>
      </c>
      <c r="N8" t="s">
        <v>8</v>
      </c>
      <c r="O8" t="s">
        <v>9</v>
      </c>
    </row>
    <row r="9" spans="1:19" x14ac:dyDescent="0.25">
      <c r="A9">
        <v>1</v>
      </c>
      <c r="B9">
        <v>148</v>
      </c>
      <c r="C9" t="s">
        <v>14</v>
      </c>
      <c r="D9" t="s">
        <v>15</v>
      </c>
      <c r="E9">
        <v>46</v>
      </c>
      <c r="F9">
        <v>216.54</v>
      </c>
      <c r="G9" s="2">
        <v>38500.995347222219</v>
      </c>
      <c r="I9">
        <v>1</v>
      </c>
      <c r="J9">
        <v>526</v>
      </c>
      <c r="K9" t="s">
        <v>20</v>
      </c>
      <c r="L9" t="s">
        <v>21</v>
      </c>
      <c r="M9">
        <v>45</v>
      </c>
      <c r="N9">
        <v>221.55</v>
      </c>
      <c r="O9" s="2">
        <v>38500.995347222219</v>
      </c>
    </row>
    <row r="10" spans="1:19" x14ac:dyDescent="0.25">
      <c r="A10">
        <v>2</v>
      </c>
      <c r="B10">
        <v>526</v>
      </c>
      <c r="C10" t="s">
        <v>20</v>
      </c>
      <c r="D10" t="s">
        <v>21</v>
      </c>
      <c r="E10">
        <v>45</v>
      </c>
      <c r="F10">
        <v>221.55</v>
      </c>
      <c r="G10" s="2">
        <v>38500.028333333335</v>
      </c>
      <c r="I10">
        <v>2</v>
      </c>
      <c r="J10">
        <v>148</v>
      </c>
      <c r="K10" t="s">
        <v>14</v>
      </c>
      <c r="L10" t="s">
        <v>15</v>
      </c>
      <c r="M10">
        <v>46</v>
      </c>
      <c r="N10">
        <v>216.54</v>
      </c>
      <c r="O10" s="2">
        <v>38500.028333333335</v>
      </c>
    </row>
    <row r="11" spans="1:19" x14ac:dyDescent="0.25">
      <c r="A11">
        <v>3</v>
      </c>
      <c r="B11">
        <v>144</v>
      </c>
      <c r="C11" t="s">
        <v>26</v>
      </c>
      <c r="D11" t="s">
        <v>27</v>
      </c>
      <c r="E11">
        <v>42</v>
      </c>
      <c r="F11">
        <v>195.58</v>
      </c>
      <c r="G11" s="2">
        <v>38499.03434027778</v>
      </c>
      <c r="I11">
        <v>3</v>
      </c>
      <c r="J11">
        <v>144</v>
      </c>
      <c r="K11" t="s">
        <v>26</v>
      </c>
      <c r="L11" t="s">
        <v>27</v>
      </c>
      <c r="M11">
        <v>42</v>
      </c>
      <c r="N11">
        <v>195.58</v>
      </c>
      <c r="O11" s="2">
        <v>38499.03434027778</v>
      </c>
    </row>
    <row r="12" spans="1:19" x14ac:dyDescent="0.25">
      <c r="A12">
        <v>4</v>
      </c>
      <c r="B12">
        <v>236</v>
      </c>
      <c r="C12" t="s">
        <v>32</v>
      </c>
      <c r="D12" t="s">
        <v>33</v>
      </c>
      <c r="E12">
        <v>42</v>
      </c>
      <c r="F12">
        <v>175.58</v>
      </c>
      <c r="G12" s="2">
        <v>38498.657592592594</v>
      </c>
      <c r="I12">
        <v>4</v>
      </c>
      <c r="J12">
        <v>137</v>
      </c>
      <c r="K12" t="s">
        <v>53</v>
      </c>
      <c r="L12" t="s">
        <v>54</v>
      </c>
      <c r="M12">
        <v>39</v>
      </c>
      <c r="N12">
        <v>194.61</v>
      </c>
      <c r="O12" s="2">
        <v>38498.657592592594</v>
      </c>
    </row>
    <row r="13" spans="1:19" x14ac:dyDescent="0.25">
      <c r="A13">
        <v>5</v>
      </c>
      <c r="B13">
        <v>75</v>
      </c>
      <c r="C13" t="s">
        <v>38</v>
      </c>
      <c r="D13" t="s">
        <v>39</v>
      </c>
      <c r="E13">
        <v>41</v>
      </c>
      <c r="F13">
        <v>155.59</v>
      </c>
      <c r="G13" s="2">
        <v>38498.198877314811</v>
      </c>
      <c r="I13">
        <v>5</v>
      </c>
      <c r="J13">
        <v>178</v>
      </c>
      <c r="K13" t="s">
        <v>57</v>
      </c>
      <c r="L13" t="s">
        <v>58</v>
      </c>
      <c r="M13">
        <v>39</v>
      </c>
      <c r="N13">
        <v>194.61</v>
      </c>
      <c r="O13" s="2">
        <v>38498.198877314811</v>
      </c>
    </row>
    <row r="14" spans="1:19" x14ac:dyDescent="0.25">
      <c r="A14">
        <v>6</v>
      </c>
      <c r="B14">
        <v>469</v>
      </c>
      <c r="C14" t="s">
        <v>48</v>
      </c>
      <c r="D14" t="s">
        <v>49</v>
      </c>
      <c r="E14">
        <v>40</v>
      </c>
      <c r="F14">
        <v>177.6</v>
      </c>
      <c r="G14" s="2">
        <v>38498.130358796298</v>
      </c>
      <c r="I14">
        <v>6</v>
      </c>
      <c r="J14">
        <v>459</v>
      </c>
      <c r="K14" t="s">
        <v>77</v>
      </c>
      <c r="L14" t="s">
        <v>78</v>
      </c>
      <c r="M14">
        <v>38</v>
      </c>
      <c r="N14">
        <v>186.62</v>
      </c>
      <c r="O14" s="2">
        <v>38498.130358796298</v>
      </c>
    </row>
    <row r="15" spans="1:19" x14ac:dyDescent="0.25">
      <c r="A15">
        <v>7</v>
      </c>
      <c r="B15">
        <v>197</v>
      </c>
      <c r="C15" t="s">
        <v>43</v>
      </c>
      <c r="D15" t="s">
        <v>44</v>
      </c>
      <c r="E15">
        <v>40</v>
      </c>
      <c r="F15">
        <v>154.6</v>
      </c>
      <c r="G15" s="2">
        <v>38497.669236111113</v>
      </c>
      <c r="I15">
        <v>7</v>
      </c>
      <c r="J15">
        <v>469</v>
      </c>
      <c r="K15" t="s">
        <v>48</v>
      </c>
      <c r="L15" t="s">
        <v>49</v>
      </c>
      <c r="M15">
        <v>40</v>
      </c>
      <c r="N15">
        <v>177.6</v>
      </c>
      <c r="O15" s="2">
        <v>38497.669236111113</v>
      </c>
    </row>
    <row r="16" spans="1:19" x14ac:dyDescent="0.25">
      <c r="A16">
        <v>8</v>
      </c>
      <c r="B16">
        <v>137</v>
      </c>
      <c r="C16" t="s">
        <v>53</v>
      </c>
      <c r="D16" t="s">
        <v>54</v>
      </c>
      <c r="E16">
        <v>39</v>
      </c>
      <c r="F16">
        <v>194.61</v>
      </c>
      <c r="G16" s="2">
        <v>38502.509629629632</v>
      </c>
      <c r="I16">
        <v>8</v>
      </c>
      <c r="J16">
        <v>468</v>
      </c>
      <c r="K16" t="s">
        <v>61</v>
      </c>
      <c r="L16" t="s">
        <v>62</v>
      </c>
      <c r="M16">
        <v>39</v>
      </c>
      <c r="N16">
        <v>175.61</v>
      </c>
      <c r="O16" s="2">
        <v>38502.509629629632</v>
      </c>
    </row>
    <row r="17" spans="1:15" x14ac:dyDescent="0.25">
      <c r="A17">
        <v>9</v>
      </c>
      <c r="B17">
        <v>178</v>
      </c>
      <c r="C17" t="s">
        <v>57</v>
      </c>
      <c r="D17" t="s">
        <v>58</v>
      </c>
      <c r="E17">
        <v>39</v>
      </c>
      <c r="F17">
        <v>194.61</v>
      </c>
      <c r="G17" s="2">
        <v>38518.377685185187</v>
      </c>
      <c r="I17">
        <v>9</v>
      </c>
      <c r="J17">
        <v>236</v>
      </c>
      <c r="K17" t="s">
        <v>32</v>
      </c>
      <c r="L17" t="s">
        <v>33</v>
      </c>
      <c r="M17">
        <v>42</v>
      </c>
      <c r="N17">
        <v>175.58</v>
      </c>
      <c r="O17" s="2">
        <v>38518.377685185187</v>
      </c>
    </row>
    <row r="18" spans="1:15" x14ac:dyDescent="0.25">
      <c r="A18">
        <v>10</v>
      </c>
      <c r="B18">
        <v>468</v>
      </c>
      <c r="C18" t="s">
        <v>61</v>
      </c>
      <c r="D18" t="s">
        <v>62</v>
      </c>
      <c r="E18">
        <v>39</v>
      </c>
      <c r="F18">
        <v>175.61</v>
      </c>
      <c r="G18" s="2">
        <v>38497.720185185186</v>
      </c>
      <c r="I18">
        <v>10</v>
      </c>
      <c r="J18">
        <v>181</v>
      </c>
      <c r="K18" t="s">
        <v>175</v>
      </c>
      <c r="L18" t="s">
        <v>176</v>
      </c>
      <c r="M18">
        <v>34</v>
      </c>
      <c r="N18">
        <v>174.66</v>
      </c>
      <c r="O18" s="2">
        <v>38497.720185185186</v>
      </c>
    </row>
    <row r="19" spans="1:15" x14ac:dyDescent="0.25">
      <c r="A19">
        <v>11</v>
      </c>
      <c r="B19">
        <v>459</v>
      </c>
      <c r="C19" t="s">
        <v>77</v>
      </c>
      <c r="D19" t="s">
        <v>78</v>
      </c>
      <c r="E19">
        <v>38</v>
      </c>
      <c r="F19">
        <v>186.62</v>
      </c>
      <c r="G19" s="2">
        <v>38496.954548611109</v>
      </c>
      <c r="I19">
        <v>11</v>
      </c>
      <c r="J19">
        <v>176</v>
      </c>
      <c r="K19" t="s">
        <v>81</v>
      </c>
      <c r="L19" t="s">
        <v>82</v>
      </c>
      <c r="M19">
        <v>37</v>
      </c>
      <c r="N19">
        <v>173.63</v>
      </c>
      <c r="O19" s="2">
        <v>38496.954548611109</v>
      </c>
    </row>
    <row r="20" spans="1:15" x14ac:dyDescent="0.25">
      <c r="A20">
        <v>12</v>
      </c>
      <c r="B20">
        <v>410</v>
      </c>
      <c r="C20" t="s">
        <v>73</v>
      </c>
      <c r="D20" t="s">
        <v>74</v>
      </c>
      <c r="E20">
        <v>38</v>
      </c>
      <c r="F20">
        <v>167.62</v>
      </c>
      <c r="G20" s="2">
        <v>38518.956643518519</v>
      </c>
      <c r="I20">
        <v>12</v>
      </c>
      <c r="J20">
        <v>50</v>
      </c>
      <c r="K20" t="s">
        <v>115</v>
      </c>
      <c r="L20" t="s">
        <v>116</v>
      </c>
      <c r="M20">
        <v>35</v>
      </c>
      <c r="N20">
        <v>169.65</v>
      </c>
      <c r="O20" s="2">
        <v>38518.956643518519</v>
      </c>
    </row>
    <row r="21" spans="1:15" x14ac:dyDescent="0.25">
      <c r="A21">
        <v>13</v>
      </c>
      <c r="B21">
        <v>295</v>
      </c>
      <c r="C21" t="s">
        <v>69</v>
      </c>
      <c r="D21" t="s">
        <v>70</v>
      </c>
      <c r="E21">
        <v>38</v>
      </c>
      <c r="F21">
        <v>162.62</v>
      </c>
      <c r="G21" s="2">
        <v>38499.339097222219</v>
      </c>
      <c r="I21">
        <v>13</v>
      </c>
      <c r="J21">
        <v>259</v>
      </c>
      <c r="K21" t="s">
        <v>267</v>
      </c>
      <c r="L21" t="s">
        <v>268</v>
      </c>
      <c r="M21">
        <v>32</v>
      </c>
      <c r="N21">
        <v>168.68</v>
      </c>
      <c r="O21" s="2">
        <v>38499.339097222219</v>
      </c>
    </row>
    <row r="22" spans="1:15" x14ac:dyDescent="0.25">
      <c r="A22">
        <v>14</v>
      </c>
      <c r="B22">
        <v>5</v>
      </c>
      <c r="C22" t="s">
        <v>65</v>
      </c>
      <c r="D22" t="s">
        <v>66</v>
      </c>
      <c r="E22">
        <v>38</v>
      </c>
      <c r="F22">
        <v>144.62</v>
      </c>
      <c r="G22" s="2">
        <v>38501.309212962966</v>
      </c>
      <c r="I22">
        <v>14</v>
      </c>
      <c r="J22">
        <v>522</v>
      </c>
      <c r="K22" t="s">
        <v>229</v>
      </c>
      <c r="L22" t="s">
        <v>230</v>
      </c>
      <c r="M22">
        <v>33</v>
      </c>
      <c r="N22">
        <v>167.67</v>
      </c>
      <c r="O22" s="2">
        <v>38501.309212962966</v>
      </c>
    </row>
    <row r="23" spans="1:15" x14ac:dyDescent="0.25">
      <c r="A23">
        <v>15</v>
      </c>
      <c r="B23">
        <v>176</v>
      </c>
      <c r="C23" t="s">
        <v>81</v>
      </c>
      <c r="D23" t="s">
        <v>82</v>
      </c>
      <c r="E23">
        <v>37</v>
      </c>
      <c r="F23">
        <v>173.63</v>
      </c>
      <c r="G23" s="2">
        <v>38498.137291666666</v>
      </c>
      <c r="I23">
        <v>15</v>
      </c>
      <c r="J23">
        <v>410</v>
      </c>
      <c r="K23" t="s">
        <v>73</v>
      </c>
      <c r="L23" t="s">
        <v>74</v>
      </c>
      <c r="M23">
        <v>38</v>
      </c>
      <c r="N23">
        <v>167.62</v>
      </c>
      <c r="O23" s="2">
        <v>38498.137291666666</v>
      </c>
    </row>
    <row r="24" spans="1:15" x14ac:dyDescent="0.25">
      <c r="A24">
        <v>16</v>
      </c>
      <c r="B24">
        <v>366</v>
      </c>
      <c r="C24" t="s">
        <v>91</v>
      </c>
      <c r="D24" t="s">
        <v>92</v>
      </c>
      <c r="E24">
        <v>37</v>
      </c>
      <c r="F24">
        <v>152.63</v>
      </c>
      <c r="G24" s="2">
        <v>38502.451643518521</v>
      </c>
      <c r="I24">
        <v>16</v>
      </c>
      <c r="J24">
        <v>403</v>
      </c>
      <c r="K24" t="s">
        <v>145</v>
      </c>
      <c r="L24" t="s">
        <v>146</v>
      </c>
      <c r="M24">
        <v>35</v>
      </c>
      <c r="N24">
        <v>166.65</v>
      </c>
      <c r="O24" s="2">
        <v>38502.451643518521</v>
      </c>
    </row>
    <row r="25" spans="1:15" x14ac:dyDescent="0.25">
      <c r="A25">
        <v>17</v>
      </c>
      <c r="B25">
        <v>257</v>
      </c>
      <c r="C25" t="s">
        <v>88</v>
      </c>
      <c r="D25" t="s">
        <v>89</v>
      </c>
      <c r="E25">
        <v>37</v>
      </c>
      <c r="F25">
        <v>151.63</v>
      </c>
      <c r="G25" s="2">
        <v>38497.95857638889</v>
      </c>
      <c r="I25">
        <v>17</v>
      </c>
      <c r="J25">
        <v>295</v>
      </c>
      <c r="K25" t="s">
        <v>69</v>
      </c>
      <c r="L25" t="s">
        <v>70</v>
      </c>
      <c r="M25">
        <v>38</v>
      </c>
      <c r="N25">
        <v>162.62</v>
      </c>
      <c r="O25" s="2">
        <v>38497.95857638889</v>
      </c>
    </row>
    <row r="26" spans="1:15" x14ac:dyDescent="0.25">
      <c r="A26">
        <v>18</v>
      </c>
      <c r="B26">
        <v>198</v>
      </c>
      <c r="C26" t="s">
        <v>85</v>
      </c>
      <c r="D26" t="s">
        <v>86</v>
      </c>
      <c r="E26">
        <v>37</v>
      </c>
      <c r="F26">
        <v>141.63</v>
      </c>
      <c r="G26" s="2">
        <v>38499.275868055556</v>
      </c>
      <c r="I26">
        <v>18</v>
      </c>
      <c r="J26">
        <v>209</v>
      </c>
      <c r="K26" t="s">
        <v>257</v>
      </c>
      <c r="L26" t="s">
        <v>258</v>
      </c>
      <c r="M26">
        <v>32</v>
      </c>
      <c r="N26">
        <v>161.68</v>
      </c>
      <c r="O26" s="2">
        <v>38499.275868055556</v>
      </c>
    </row>
    <row r="27" spans="1:15" x14ac:dyDescent="0.25">
      <c r="A27">
        <v>19</v>
      </c>
      <c r="B27">
        <v>267</v>
      </c>
      <c r="C27" t="s">
        <v>97</v>
      </c>
      <c r="D27" t="s">
        <v>98</v>
      </c>
      <c r="E27">
        <v>36</v>
      </c>
      <c r="F27">
        <v>159.63999999999999</v>
      </c>
      <c r="G27" s="2">
        <v>38497.623171296298</v>
      </c>
      <c r="I27">
        <v>19</v>
      </c>
      <c r="J27">
        <v>373</v>
      </c>
      <c r="K27" t="s">
        <v>139</v>
      </c>
      <c r="L27" t="s">
        <v>140</v>
      </c>
      <c r="M27">
        <v>35</v>
      </c>
      <c r="N27">
        <v>161.65</v>
      </c>
      <c r="O27" s="2">
        <v>38497.623171296298</v>
      </c>
    </row>
    <row r="28" spans="1:15" x14ac:dyDescent="0.25">
      <c r="A28">
        <v>20</v>
      </c>
      <c r="B28">
        <v>439</v>
      </c>
      <c r="C28" t="s">
        <v>109</v>
      </c>
      <c r="D28" t="s">
        <v>110</v>
      </c>
      <c r="E28">
        <v>36</v>
      </c>
      <c r="F28">
        <v>151.63999999999999</v>
      </c>
      <c r="G28" s="2">
        <v>38497.880543981482</v>
      </c>
      <c r="I28">
        <v>20</v>
      </c>
      <c r="J28">
        <v>470</v>
      </c>
      <c r="K28" t="s">
        <v>289</v>
      </c>
      <c r="L28" t="s">
        <v>290</v>
      </c>
      <c r="M28">
        <v>32</v>
      </c>
      <c r="N28">
        <v>160.68</v>
      </c>
      <c r="O28" s="2">
        <v>38497.880543981482</v>
      </c>
    </row>
    <row r="29" spans="1:15" x14ac:dyDescent="0.25">
      <c r="A29">
        <v>21</v>
      </c>
      <c r="B29">
        <v>348</v>
      </c>
      <c r="C29" t="s">
        <v>100</v>
      </c>
      <c r="D29" t="s">
        <v>101</v>
      </c>
      <c r="E29">
        <v>36</v>
      </c>
      <c r="F29">
        <v>146.63999999999999</v>
      </c>
      <c r="G29" s="2">
        <v>38498.033182870371</v>
      </c>
      <c r="I29">
        <v>21</v>
      </c>
      <c r="J29">
        <v>187</v>
      </c>
      <c r="K29" t="s">
        <v>528</v>
      </c>
      <c r="L29" t="s">
        <v>529</v>
      </c>
      <c r="M29">
        <v>28</v>
      </c>
      <c r="N29">
        <v>159.72</v>
      </c>
      <c r="O29" s="2">
        <v>38498.033182870371</v>
      </c>
    </row>
    <row r="30" spans="1:15" x14ac:dyDescent="0.25">
      <c r="A30">
        <v>22</v>
      </c>
      <c r="B30">
        <v>29</v>
      </c>
      <c r="C30" t="s">
        <v>94</v>
      </c>
      <c r="D30" t="s">
        <v>95</v>
      </c>
      <c r="E30">
        <v>36</v>
      </c>
      <c r="F30">
        <v>140.63999999999999</v>
      </c>
      <c r="G30" s="2">
        <v>38498.286493055559</v>
      </c>
      <c r="I30">
        <v>22</v>
      </c>
      <c r="J30">
        <v>550</v>
      </c>
      <c r="K30" t="s">
        <v>299</v>
      </c>
      <c r="L30" t="s">
        <v>300</v>
      </c>
      <c r="M30">
        <v>32</v>
      </c>
      <c r="N30">
        <v>159.68</v>
      </c>
      <c r="O30" s="2">
        <v>38498.286493055559</v>
      </c>
    </row>
    <row r="31" spans="1:15" x14ac:dyDescent="0.25">
      <c r="A31">
        <v>23</v>
      </c>
      <c r="B31">
        <v>380</v>
      </c>
      <c r="C31" t="s">
        <v>106</v>
      </c>
      <c r="D31" t="s">
        <v>107</v>
      </c>
      <c r="E31">
        <v>36</v>
      </c>
      <c r="F31">
        <v>136.63999999999999</v>
      </c>
      <c r="G31" s="2">
        <v>38502.054340277777</v>
      </c>
      <c r="I31">
        <v>23</v>
      </c>
      <c r="J31">
        <v>462</v>
      </c>
      <c r="K31" t="s">
        <v>170</v>
      </c>
      <c r="L31" t="s">
        <v>228</v>
      </c>
      <c r="M31">
        <v>33</v>
      </c>
      <c r="N31">
        <v>159.66999999999999</v>
      </c>
      <c r="O31" s="2">
        <v>38502.054340277777</v>
      </c>
    </row>
    <row r="32" spans="1:15" x14ac:dyDescent="0.25">
      <c r="A32">
        <v>24</v>
      </c>
      <c r="B32">
        <v>354</v>
      </c>
      <c r="C32" t="s">
        <v>103</v>
      </c>
      <c r="D32" t="s">
        <v>104</v>
      </c>
      <c r="E32">
        <v>36</v>
      </c>
      <c r="F32">
        <v>129.63999999999999</v>
      </c>
      <c r="G32" s="2">
        <v>38497.982199074075</v>
      </c>
      <c r="I32">
        <v>24</v>
      </c>
      <c r="J32">
        <v>267</v>
      </c>
      <c r="K32" t="s">
        <v>97</v>
      </c>
      <c r="L32" t="s">
        <v>98</v>
      </c>
      <c r="M32">
        <v>36</v>
      </c>
      <c r="N32">
        <v>159.63999999999999</v>
      </c>
      <c r="O32" s="2">
        <v>38497.982199074075</v>
      </c>
    </row>
    <row r="33" spans="1:15" x14ac:dyDescent="0.25">
      <c r="A33">
        <v>25</v>
      </c>
      <c r="B33">
        <v>50</v>
      </c>
      <c r="C33" t="s">
        <v>115</v>
      </c>
      <c r="D33" t="s">
        <v>116</v>
      </c>
      <c r="E33">
        <v>35</v>
      </c>
      <c r="F33">
        <v>169.65</v>
      </c>
      <c r="G33" s="2">
        <v>38501.480729166666</v>
      </c>
      <c r="I33">
        <v>25</v>
      </c>
      <c r="J33">
        <v>293</v>
      </c>
      <c r="K33" t="s">
        <v>323</v>
      </c>
      <c r="L33" t="s">
        <v>324</v>
      </c>
      <c r="M33">
        <v>31</v>
      </c>
      <c r="N33">
        <v>158.69</v>
      </c>
      <c r="O33" s="2">
        <v>38501.480729166666</v>
      </c>
    </row>
    <row r="34" spans="1:15" x14ac:dyDescent="0.25">
      <c r="A34">
        <v>26</v>
      </c>
      <c r="B34">
        <v>403</v>
      </c>
      <c r="C34" t="s">
        <v>145</v>
      </c>
      <c r="D34" t="s">
        <v>146</v>
      </c>
      <c r="E34">
        <v>35</v>
      </c>
      <c r="F34">
        <v>166.65</v>
      </c>
      <c r="G34" s="2">
        <v>38499.758483796293</v>
      </c>
      <c r="I34">
        <v>26</v>
      </c>
      <c r="J34">
        <v>372</v>
      </c>
      <c r="K34" t="s">
        <v>187</v>
      </c>
      <c r="L34" t="s">
        <v>188</v>
      </c>
      <c r="M34">
        <v>34</v>
      </c>
      <c r="N34">
        <v>158.66</v>
      </c>
      <c r="O34" s="2">
        <v>38499.758483796293</v>
      </c>
    </row>
    <row r="35" spans="1:15" x14ac:dyDescent="0.25">
      <c r="A35">
        <v>27</v>
      </c>
      <c r="B35">
        <v>373</v>
      </c>
      <c r="C35" t="s">
        <v>139</v>
      </c>
      <c r="D35" t="s">
        <v>140</v>
      </c>
      <c r="E35">
        <v>35</v>
      </c>
      <c r="F35">
        <v>161.65</v>
      </c>
      <c r="G35" s="2">
        <v>38498.643807870372</v>
      </c>
      <c r="I35">
        <v>27</v>
      </c>
      <c r="J35">
        <v>273</v>
      </c>
      <c r="K35" t="s">
        <v>127</v>
      </c>
      <c r="L35" t="s">
        <v>128</v>
      </c>
      <c r="M35">
        <v>35</v>
      </c>
      <c r="N35">
        <v>157.65</v>
      </c>
      <c r="O35" s="2">
        <v>38498.643807870372</v>
      </c>
    </row>
    <row r="36" spans="1:15" x14ac:dyDescent="0.25">
      <c r="A36">
        <v>28</v>
      </c>
      <c r="B36">
        <v>273</v>
      </c>
      <c r="C36" t="s">
        <v>127</v>
      </c>
      <c r="D36" t="s">
        <v>128</v>
      </c>
      <c r="E36">
        <v>35</v>
      </c>
      <c r="F36">
        <v>157.65</v>
      </c>
      <c r="G36" s="2">
        <v>38497.823854166665</v>
      </c>
      <c r="I36">
        <v>28</v>
      </c>
      <c r="J36">
        <v>368</v>
      </c>
      <c r="K36" t="s">
        <v>133</v>
      </c>
      <c r="L36" t="s">
        <v>134</v>
      </c>
      <c r="M36">
        <v>35</v>
      </c>
      <c r="N36">
        <v>157.65</v>
      </c>
      <c r="O36" s="2">
        <v>38497.823854166665</v>
      </c>
    </row>
    <row r="37" spans="1:15" x14ac:dyDescent="0.25">
      <c r="A37">
        <v>29</v>
      </c>
      <c r="B37">
        <v>368</v>
      </c>
      <c r="C37" t="s">
        <v>133</v>
      </c>
      <c r="D37" t="s">
        <v>134</v>
      </c>
      <c r="E37">
        <v>35</v>
      </c>
      <c r="F37">
        <v>157.65</v>
      </c>
      <c r="G37" s="2">
        <v>38497.389918981484</v>
      </c>
      <c r="I37">
        <v>29</v>
      </c>
      <c r="J37">
        <v>346</v>
      </c>
      <c r="K37" t="s">
        <v>277</v>
      </c>
      <c r="L37" t="s">
        <v>278</v>
      </c>
      <c r="M37">
        <v>32</v>
      </c>
      <c r="N37">
        <v>155.68</v>
      </c>
      <c r="O37" s="2">
        <v>38497.389918981484</v>
      </c>
    </row>
    <row r="38" spans="1:15" x14ac:dyDescent="0.25">
      <c r="A38">
        <v>30</v>
      </c>
      <c r="B38">
        <v>21</v>
      </c>
      <c r="C38" t="s">
        <v>112</v>
      </c>
      <c r="D38" t="s">
        <v>113</v>
      </c>
      <c r="E38">
        <v>35</v>
      </c>
      <c r="F38">
        <v>155.65</v>
      </c>
      <c r="G38" s="2">
        <v>38498.654398148145</v>
      </c>
      <c r="I38">
        <v>30</v>
      </c>
      <c r="J38">
        <v>21</v>
      </c>
      <c r="K38" t="s">
        <v>112</v>
      </c>
      <c r="L38" t="s">
        <v>113</v>
      </c>
      <c r="M38">
        <v>35</v>
      </c>
      <c r="N38">
        <v>155.65</v>
      </c>
      <c r="O38" s="2">
        <v>38498.654398148145</v>
      </c>
    </row>
    <row r="39" spans="1:15" x14ac:dyDescent="0.25">
      <c r="A39">
        <v>31</v>
      </c>
      <c r="B39">
        <v>274</v>
      </c>
      <c r="C39" t="s">
        <v>130</v>
      </c>
      <c r="D39" t="s">
        <v>131</v>
      </c>
      <c r="E39">
        <v>35</v>
      </c>
      <c r="F39">
        <v>152.65</v>
      </c>
      <c r="G39" s="2">
        <v>38498.012384259258</v>
      </c>
      <c r="I39">
        <v>31</v>
      </c>
      <c r="J39">
        <v>75</v>
      </c>
      <c r="K39" t="s">
        <v>38</v>
      </c>
      <c r="L39" t="s">
        <v>39</v>
      </c>
      <c r="M39">
        <v>41</v>
      </c>
      <c r="N39">
        <v>155.59</v>
      </c>
      <c r="O39" s="2">
        <v>38498.012384259258</v>
      </c>
    </row>
    <row r="40" spans="1:15" x14ac:dyDescent="0.25">
      <c r="A40">
        <v>32</v>
      </c>
      <c r="B40">
        <v>506</v>
      </c>
      <c r="C40" t="s">
        <v>148</v>
      </c>
      <c r="D40" t="s">
        <v>149</v>
      </c>
      <c r="E40">
        <v>35</v>
      </c>
      <c r="F40">
        <v>152.65</v>
      </c>
      <c r="G40" s="2">
        <v>38497.800486111111</v>
      </c>
      <c r="I40">
        <v>32</v>
      </c>
      <c r="J40">
        <v>197</v>
      </c>
      <c r="K40" t="s">
        <v>43</v>
      </c>
      <c r="L40" t="s">
        <v>44</v>
      </c>
      <c r="M40">
        <v>40</v>
      </c>
      <c r="N40">
        <v>154.6</v>
      </c>
      <c r="O40" s="2">
        <v>38497.800486111111</v>
      </c>
    </row>
    <row r="41" spans="1:15" x14ac:dyDescent="0.25">
      <c r="A41">
        <v>33</v>
      </c>
      <c r="B41">
        <v>196</v>
      </c>
      <c r="C41" t="s">
        <v>121</v>
      </c>
      <c r="D41" t="s">
        <v>122</v>
      </c>
      <c r="E41">
        <v>35</v>
      </c>
      <c r="F41">
        <v>151.65</v>
      </c>
      <c r="G41" s="2">
        <v>38497.762719907405</v>
      </c>
      <c r="I41">
        <v>33</v>
      </c>
      <c r="J41">
        <v>119</v>
      </c>
      <c r="K41" t="s">
        <v>165</v>
      </c>
      <c r="L41" t="s">
        <v>166</v>
      </c>
      <c r="M41">
        <v>34</v>
      </c>
      <c r="N41">
        <v>153.66</v>
      </c>
      <c r="O41" s="2">
        <v>38497.762719907405</v>
      </c>
    </row>
    <row r="42" spans="1:15" x14ac:dyDescent="0.25">
      <c r="A42">
        <v>34</v>
      </c>
      <c r="B42">
        <v>371</v>
      </c>
      <c r="C42" t="s">
        <v>136</v>
      </c>
      <c r="D42" t="s">
        <v>137</v>
      </c>
      <c r="E42">
        <v>35</v>
      </c>
      <c r="F42">
        <v>149.65</v>
      </c>
      <c r="G42" s="2">
        <v>38497.150578703702</v>
      </c>
      <c r="I42">
        <v>34</v>
      </c>
      <c r="J42">
        <v>532</v>
      </c>
      <c r="K42" t="s">
        <v>295</v>
      </c>
      <c r="L42" t="s">
        <v>296</v>
      </c>
      <c r="M42">
        <v>32</v>
      </c>
      <c r="N42">
        <v>152.68</v>
      </c>
      <c r="O42" s="2">
        <v>38497.150578703702</v>
      </c>
    </row>
    <row r="43" spans="1:15" x14ac:dyDescent="0.25">
      <c r="A43">
        <v>35</v>
      </c>
      <c r="B43">
        <v>204</v>
      </c>
      <c r="C43" t="s">
        <v>124</v>
      </c>
      <c r="D43" t="s">
        <v>125</v>
      </c>
      <c r="E43">
        <v>35</v>
      </c>
      <c r="F43">
        <v>147.65</v>
      </c>
      <c r="G43" s="2">
        <v>38498.608101851853</v>
      </c>
      <c r="I43">
        <v>35</v>
      </c>
      <c r="J43">
        <v>390</v>
      </c>
      <c r="K43" t="s">
        <v>220</v>
      </c>
      <c r="L43" t="s">
        <v>221</v>
      </c>
      <c r="M43">
        <v>33</v>
      </c>
      <c r="N43">
        <v>152.66999999999999</v>
      </c>
      <c r="O43" s="2">
        <v>38498.608101851853</v>
      </c>
    </row>
    <row r="44" spans="1:15" x14ac:dyDescent="0.25">
      <c r="A44">
        <v>36</v>
      </c>
      <c r="B44">
        <v>91</v>
      </c>
      <c r="C44" t="s">
        <v>118</v>
      </c>
      <c r="D44" t="s">
        <v>119</v>
      </c>
      <c r="E44">
        <v>35</v>
      </c>
      <c r="F44">
        <v>113.65</v>
      </c>
      <c r="G44" s="2">
        <v>38498.387303240743</v>
      </c>
      <c r="I44">
        <v>36</v>
      </c>
      <c r="J44">
        <v>26</v>
      </c>
      <c r="K44" t="s">
        <v>151</v>
      </c>
      <c r="L44" t="s">
        <v>152</v>
      </c>
      <c r="M44">
        <v>34</v>
      </c>
      <c r="N44">
        <v>152.66</v>
      </c>
      <c r="O44" s="2">
        <v>38498.387303240743</v>
      </c>
    </row>
    <row r="45" spans="1:15" x14ac:dyDescent="0.25">
      <c r="A45">
        <v>37</v>
      </c>
      <c r="B45">
        <v>381</v>
      </c>
      <c r="C45" t="s">
        <v>142</v>
      </c>
      <c r="D45" t="s">
        <v>143</v>
      </c>
      <c r="E45">
        <v>35</v>
      </c>
      <c r="F45">
        <v>106.65</v>
      </c>
      <c r="G45" s="2">
        <v>38498.131597222222</v>
      </c>
      <c r="I45">
        <v>37</v>
      </c>
      <c r="J45">
        <v>274</v>
      </c>
      <c r="K45" t="s">
        <v>130</v>
      </c>
      <c r="L45" t="s">
        <v>131</v>
      </c>
      <c r="M45">
        <v>35</v>
      </c>
      <c r="N45">
        <v>152.65</v>
      </c>
      <c r="O45" s="2">
        <v>38498.131597222222</v>
      </c>
    </row>
    <row r="46" spans="1:15" x14ac:dyDescent="0.25">
      <c r="A46">
        <v>38</v>
      </c>
      <c r="B46">
        <v>181</v>
      </c>
      <c r="C46" t="s">
        <v>175</v>
      </c>
      <c r="D46" t="s">
        <v>176</v>
      </c>
      <c r="E46">
        <v>34</v>
      </c>
      <c r="F46">
        <v>174.66</v>
      </c>
      <c r="G46" s="2">
        <v>38500.47179398148</v>
      </c>
      <c r="I46">
        <v>38</v>
      </c>
      <c r="J46">
        <v>506</v>
      </c>
      <c r="K46" t="s">
        <v>148</v>
      </c>
      <c r="L46" t="s">
        <v>149</v>
      </c>
      <c r="M46">
        <v>35</v>
      </c>
      <c r="N46">
        <v>152.65</v>
      </c>
      <c r="O46" s="2">
        <v>38500.47179398148</v>
      </c>
    </row>
    <row r="47" spans="1:15" x14ac:dyDescent="0.25">
      <c r="A47">
        <v>39</v>
      </c>
      <c r="B47">
        <v>372</v>
      </c>
      <c r="C47" t="s">
        <v>187</v>
      </c>
      <c r="D47" t="s">
        <v>188</v>
      </c>
      <c r="E47">
        <v>34</v>
      </c>
      <c r="F47">
        <v>158.66</v>
      </c>
      <c r="G47" s="2">
        <v>38500.659189814818</v>
      </c>
      <c r="I47">
        <v>39</v>
      </c>
      <c r="J47">
        <v>366</v>
      </c>
      <c r="K47" t="s">
        <v>91</v>
      </c>
      <c r="L47" t="s">
        <v>92</v>
      </c>
      <c r="M47">
        <v>37</v>
      </c>
      <c r="N47">
        <v>152.63</v>
      </c>
      <c r="O47" s="2">
        <v>38500.659189814818</v>
      </c>
    </row>
    <row r="48" spans="1:15" x14ac:dyDescent="0.25">
      <c r="A48">
        <v>40</v>
      </c>
      <c r="B48">
        <v>119</v>
      </c>
      <c r="C48" t="s">
        <v>165</v>
      </c>
      <c r="D48" t="s">
        <v>166</v>
      </c>
      <c r="E48">
        <v>34</v>
      </c>
      <c r="F48">
        <v>153.66</v>
      </c>
      <c r="G48" s="2">
        <v>38497.403483796297</v>
      </c>
      <c r="I48">
        <v>40</v>
      </c>
      <c r="J48">
        <v>7</v>
      </c>
      <c r="K48" t="s">
        <v>197</v>
      </c>
      <c r="L48" t="s">
        <v>198</v>
      </c>
      <c r="M48">
        <v>33</v>
      </c>
      <c r="N48">
        <v>151.66999999999999</v>
      </c>
      <c r="O48" s="2">
        <v>38497.403483796297</v>
      </c>
    </row>
    <row r="49" spans="1:15" x14ac:dyDescent="0.25">
      <c r="A49">
        <v>41</v>
      </c>
      <c r="B49">
        <v>26</v>
      </c>
      <c r="C49" t="s">
        <v>151</v>
      </c>
      <c r="D49" t="s">
        <v>152</v>
      </c>
      <c r="E49">
        <v>34</v>
      </c>
      <c r="F49">
        <v>152.66</v>
      </c>
      <c r="G49" s="2">
        <v>38501.708148148151</v>
      </c>
      <c r="I49">
        <v>41</v>
      </c>
      <c r="J49">
        <v>454</v>
      </c>
      <c r="K49" t="s">
        <v>226</v>
      </c>
      <c r="L49" t="s">
        <v>227</v>
      </c>
      <c r="M49">
        <v>33</v>
      </c>
      <c r="N49">
        <v>151.66999999999999</v>
      </c>
      <c r="O49" s="2">
        <v>38501.708148148151</v>
      </c>
    </row>
    <row r="50" spans="1:15" x14ac:dyDescent="0.25">
      <c r="A50">
        <v>42</v>
      </c>
      <c r="B50">
        <v>211</v>
      </c>
      <c r="C50" t="s">
        <v>179</v>
      </c>
      <c r="D50" t="s">
        <v>180</v>
      </c>
      <c r="E50">
        <v>34</v>
      </c>
      <c r="F50">
        <v>151.66</v>
      </c>
      <c r="G50" s="2">
        <v>38498.521087962959</v>
      </c>
      <c r="I50">
        <v>42</v>
      </c>
      <c r="J50">
        <v>211</v>
      </c>
      <c r="K50" t="s">
        <v>179</v>
      </c>
      <c r="L50" t="s">
        <v>180</v>
      </c>
      <c r="M50">
        <v>34</v>
      </c>
      <c r="N50">
        <v>151.66</v>
      </c>
      <c r="O50" s="2">
        <v>38498.521087962959</v>
      </c>
    </row>
    <row r="51" spans="1:15" x14ac:dyDescent="0.25">
      <c r="A51">
        <v>43</v>
      </c>
      <c r="B51">
        <v>360</v>
      </c>
      <c r="C51" t="s">
        <v>185</v>
      </c>
      <c r="D51" t="s">
        <v>186</v>
      </c>
      <c r="E51">
        <v>34</v>
      </c>
      <c r="F51">
        <v>150.66</v>
      </c>
      <c r="G51" s="2">
        <v>38500.734710648147</v>
      </c>
      <c r="I51">
        <v>43</v>
      </c>
      <c r="J51">
        <v>196</v>
      </c>
      <c r="K51" t="s">
        <v>121</v>
      </c>
      <c r="L51" t="s">
        <v>122</v>
      </c>
      <c r="M51">
        <v>35</v>
      </c>
      <c r="N51">
        <v>151.65</v>
      </c>
      <c r="O51" s="2">
        <v>38500.734710648147</v>
      </c>
    </row>
    <row r="52" spans="1:15" x14ac:dyDescent="0.25">
      <c r="A52">
        <v>44</v>
      </c>
      <c r="B52">
        <v>66</v>
      </c>
      <c r="C52" t="s">
        <v>163</v>
      </c>
      <c r="D52" t="s">
        <v>164</v>
      </c>
      <c r="E52">
        <v>34</v>
      </c>
      <c r="F52">
        <v>144.66</v>
      </c>
      <c r="G52" s="2">
        <v>38502.547743055555</v>
      </c>
      <c r="I52">
        <v>44</v>
      </c>
      <c r="J52">
        <v>439</v>
      </c>
      <c r="K52" t="s">
        <v>109</v>
      </c>
      <c r="L52" t="s">
        <v>110</v>
      </c>
      <c r="M52">
        <v>36</v>
      </c>
      <c r="N52">
        <v>151.63999999999999</v>
      </c>
      <c r="O52" s="2">
        <v>38502.547743055555</v>
      </c>
    </row>
    <row r="53" spans="1:15" x14ac:dyDescent="0.25">
      <c r="A53">
        <v>45</v>
      </c>
      <c r="B53">
        <v>46</v>
      </c>
      <c r="C53" t="s">
        <v>160</v>
      </c>
      <c r="D53" t="s">
        <v>161</v>
      </c>
      <c r="E53">
        <v>34</v>
      </c>
      <c r="F53">
        <v>142.66</v>
      </c>
      <c r="G53" s="2">
        <v>38499.540219907409</v>
      </c>
      <c r="I53">
        <v>45</v>
      </c>
      <c r="J53">
        <v>257</v>
      </c>
      <c r="K53" t="s">
        <v>88</v>
      </c>
      <c r="L53" t="s">
        <v>89</v>
      </c>
      <c r="M53">
        <v>37</v>
      </c>
      <c r="N53">
        <v>151.63</v>
      </c>
      <c r="O53" s="2">
        <v>38499.540219907409</v>
      </c>
    </row>
    <row r="54" spans="1:15" x14ac:dyDescent="0.25">
      <c r="A54">
        <v>46</v>
      </c>
      <c r="B54">
        <v>239</v>
      </c>
      <c r="C54" t="s">
        <v>181</v>
      </c>
      <c r="D54" t="s">
        <v>182</v>
      </c>
      <c r="E54">
        <v>34</v>
      </c>
      <c r="F54">
        <v>142.66</v>
      </c>
      <c r="G54" s="2">
        <v>38496.980393518519</v>
      </c>
      <c r="I54">
        <v>46</v>
      </c>
      <c r="J54">
        <v>360</v>
      </c>
      <c r="K54" t="s">
        <v>185</v>
      </c>
      <c r="L54" t="s">
        <v>186</v>
      </c>
      <c r="M54">
        <v>34</v>
      </c>
      <c r="N54">
        <v>150.66</v>
      </c>
      <c r="O54" s="2">
        <v>38496.980393518519</v>
      </c>
    </row>
    <row r="55" spans="1:15" x14ac:dyDescent="0.25">
      <c r="A55">
        <v>47</v>
      </c>
      <c r="B55">
        <v>566</v>
      </c>
      <c r="C55" t="s">
        <v>193</v>
      </c>
      <c r="D55" t="s">
        <v>194</v>
      </c>
      <c r="E55">
        <v>34</v>
      </c>
      <c r="F55">
        <v>141.66</v>
      </c>
      <c r="G55" s="2">
        <v>38498.491203703707</v>
      </c>
      <c r="I55">
        <v>47</v>
      </c>
      <c r="J55">
        <v>371</v>
      </c>
      <c r="K55" t="s">
        <v>136</v>
      </c>
      <c r="L55" t="s">
        <v>137</v>
      </c>
      <c r="M55">
        <v>35</v>
      </c>
      <c r="N55">
        <v>149.65</v>
      </c>
      <c r="O55" s="2">
        <v>38498.491203703707</v>
      </c>
    </row>
    <row r="56" spans="1:15" x14ac:dyDescent="0.25">
      <c r="A56">
        <v>48</v>
      </c>
      <c r="B56">
        <v>576</v>
      </c>
      <c r="C56" t="s">
        <v>195</v>
      </c>
      <c r="D56" t="s">
        <v>196</v>
      </c>
      <c r="E56">
        <v>34</v>
      </c>
      <c r="F56">
        <v>139.66</v>
      </c>
      <c r="G56" s="2">
        <v>38501.435057870367</v>
      </c>
      <c r="I56">
        <v>48</v>
      </c>
      <c r="J56">
        <v>513</v>
      </c>
      <c r="K56" t="s">
        <v>345</v>
      </c>
      <c r="L56" t="s">
        <v>346</v>
      </c>
      <c r="M56">
        <v>31</v>
      </c>
      <c r="N56">
        <v>148.69</v>
      </c>
      <c r="O56" s="2">
        <v>38501.435057870367</v>
      </c>
    </row>
    <row r="57" spans="1:15" x14ac:dyDescent="0.25">
      <c r="A57">
        <v>49</v>
      </c>
      <c r="B57">
        <v>502</v>
      </c>
      <c r="C57" t="s">
        <v>191</v>
      </c>
      <c r="D57" t="s">
        <v>192</v>
      </c>
      <c r="E57">
        <v>34</v>
      </c>
      <c r="F57">
        <v>138.66</v>
      </c>
      <c r="G57" s="2">
        <v>38498.644606481481</v>
      </c>
      <c r="I57">
        <v>49</v>
      </c>
      <c r="J57">
        <v>86</v>
      </c>
      <c r="K57" t="s">
        <v>205</v>
      </c>
      <c r="L57" t="s">
        <v>206</v>
      </c>
      <c r="M57">
        <v>33</v>
      </c>
      <c r="N57">
        <v>148.66999999999999</v>
      </c>
      <c r="O57" s="2">
        <v>38498.644606481481</v>
      </c>
    </row>
    <row r="58" spans="1:15" x14ac:dyDescent="0.25">
      <c r="A58">
        <v>50</v>
      </c>
      <c r="B58">
        <v>207</v>
      </c>
      <c r="C58" t="s">
        <v>177</v>
      </c>
      <c r="D58" t="s">
        <v>178</v>
      </c>
      <c r="E58">
        <v>34</v>
      </c>
      <c r="F58">
        <v>137.66</v>
      </c>
      <c r="G58" s="2">
        <v>38497.202615740738</v>
      </c>
      <c r="I58">
        <v>50</v>
      </c>
      <c r="J58">
        <v>309</v>
      </c>
      <c r="K58" t="s">
        <v>327</v>
      </c>
      <c r="L58" t="s">
        <v>328</v>
      </c>
      <c r="M58">
        <v>31</v>
      </c>
      <c r="N58">
        <v>147.69</v>
      </c>
      <c r="O58" s="2">
        <v>38497.202615740738</v>
      </c>
    </row>
    <row r="59" spans="1:15" x14ac:dyDescent="0.25">
      <c r="A59">
        <v>51</v>
      </c>
      <c r="B59">
        <v>168</v>
      </c>
      <c r="C59" t="s">
        <v>173</v>
      </c>
      <c r="D59" t="s">
        <v>174</v>
      </c>
      <c r="E59">
        <v>34</v>
      </c>
      <c r="F59">
        <v>135.66</v>
      </c>
      <c r="G59" s="2">
        <v>38499.563784722224</v>
      </c>
      <c r="I59">
        <v>51</v>
      </c>
      <c r="J59">
        <v>204</v>
      </c>
      <c r="K59" t="s">
        <v>124</v>
      </c>
      <c r="L59" t="s">
        <v>125</v>
      </c>
      <c r="M59">
        <v>35</v>
      </c>
      <c r="N59">
        <v>147.65</v>
      </c>
      <c r="O59" s="2">
        <v>38499.563784722224</v>
      </c>
    </row>
    <row r="60" spans="1:15" x14ac:dyDescent="0.25">
      <c r="A60">
        <v>52</v>
      </c>
      <c r="B60">
        <v>473</v>
      </c>
      <c r="C60" t="s">
        <v>189</v>
      </c>
      <c r="D60" t="s">
        <v>190</v>
      </c>
      <c r="E60">
        <v>34</v>
      </c>
      <c r="F60">
        <v>134.66</v>
      </c>
      <c r="G60" s="2">
        <v>38499.202037037037</v>
      </c>
      <c r="I60">
        <v>52</v>
      </c>
      <c r="J60">
        <v>103</v>
      </c>
      <c r="K60" t="s">
        <v>307</v>
      </c>
      <c r="L60" t="s">
        <v>308</v>
      </c>
      <c r="M60">
        <v>31</v>
      </c>
      <c r="N60">
        <v>146.69</v>
      </c>
      <c r="O60" s="2">
        <v>38499.202037037037</v>
      </c>
    </row>
    <row r="61" spans="1:15" x14ac:dyDescent="0.25">
      <c r="A61">
        <v>53</v>
      </c>
      <c r="B61">
        <v>38</v>
      </c>
      <c r="C61" t="s">
        <v>157</v>
      </c>
      <c r="D61" t="s">
        <v>158</v>
      </c>
      <c r="E61">
        <v>34</v>
      </c>
      <c r="F61">
        <v>127.66</v>
      </c>
      <c r="G61" s="2">
        <v>38518.246990740743</v>
      </c>
      <c r="I61">
        <v>53</v>
      </c>
      <c r="J61">
        <v>479</v>
      </c>
      <c r="K61" t="s">
        <v>341</v>
      </c>
      <c r="L61" t="s">
        <v>342</v>
      </c>
      <c r="M61">
        <v>31</v>
      </c>
      <c r="N61">
        <v>146.69</v>
      </c>
      <c r="O61" s="2">
        <v>38518.246990740743</v>
      </c>
    </row>
    <row r="62" spans="1:15" x14ac:dyDescent="0.25">
      <c r="A62">
        <v>54</v>
      </c>
      <c r="B62">
        <v>147</v>
      </c>
      <c r="C62" t="s">
        <v>171</v>
      </c>
      <c r="D62" t="s">
        <v>172</v>
      </c>
      <c r="E62">
        <v>34</v>
      </c>
      <c r="F62">
        <v>127.66</v>
      </c>
      <c r="G62" s="2">
        <v>38499.298900462964</v>
      </c>
      <c r="I62">
        <v>54</v>
      </c>
      <c r="J62">
        <v>348</v>
      </c>
      <c r="K62" t="s">
        <v>100</v>
      </c>
      <c r="L62" t="s">
        <v>101</v>
      </c>
      <c r="M62">
        <v>36</v>
      </c>
      <c r="N62">
        <v>146.63999999999999</v>
      </c>
      <c r="O62" s="2">
        <v>38499.298900462964</v>
      </c>
    </row>
    <row r="63" spans="1:15" x14ac:dyDescent="0.25">
      <c r="A63">
        <v>55</v>
      </c>
      <c r="B63">
        <v>129</v>
      </c>
      <c r="C63" t="s">
        <v>167</v>
      </c>
      <c r="D63" t="s">
        <v>168</v>
      </c>
      <c r="E63">
        <v>34</v>
      </c>
      <c r="F63">
        <v>124.66</v>
      </c>
      <c r="G63" s="2">
        <v>38519.649085648147</v>
      </c>
      <c r="I63">
        <v>55</v>
      </c>
      <c r="J63">
        <v>87</v>
      </c>
      <c r="K63" t="s">
        <v>362</v>
      </c>
      <c r="L63" t="s">
        <v>363</v>
      </c>
      <c r="M63">
        <v>30</v>
      </c>
      <c r="N63">
        <v>145.69999999999999</v>
      </c>
      <c r="O63" s="2">
        <v>38519.649085648147</v>
      </c>
    </row>
    <row r="64" spans="1:15" x14ac:dyDescent="0.25">
      <c r="A64">
        <v>56</v>
      </c>
      <c r="B64">
        <v>30</v>
      </c>
      <c r="C64" t="s">
        <v>154</v>
      </c>
      <c r="D64" t="s">
        <v>155</v>
      </c>
      <c r="E64">
        <v>34</v>
      </c>
      <c r="F64">
        <v>123.66</v>
      </c>
      <c r="G64" s="2">
        <v>38520.110648148147</v>
      </c>
      <c r="I64">
        <v>56</v>
      </c>
      <c r="J64">
        <v>362</v>
      </c>
      <c r="K64" t="s">
        <v>279</v>
      </c>
      <c r="L64" t="s">
        <v>280</v>
      </c>
      <c r="M64">
        <v>32</v>
      </c>
      <c r="N64">
        <v>145.68</v>
      </c>
      <c r="O64" s="2">
        <v>38520.110648148147</v>
      </c>
    </row>
    <row r="65" spans="1:15" x14ac:dyDescent="0.25">
      <c r="A65">
        <v>57</v>
      </c>
      <c r="B65">
        <v>241</v>
      </c>
      <c r="C65" t="s">
        <v>183</v>
      </c>
      <c r="D65" t="s">
        <v>184</v>
      </c>
      <c r="E65">
        <v>34</v>
      </c>
      <c r="F65">
        <v>122.66</v>
      </c>
      <c r="G65" s="2">
        <v>38500.711608796293</v>
      </c>
      <c r="I65">
        <v>57</v>
      </c>
      <c r="J65">
        <v>172</v>
      </c>
      <c r="K65" t="s">
        <v>211</v>
      </c>
      <c r="L65" t="s">
        <v>212</v>
      </c>
      <c r="M65">
        <v>33</v>
      </c>
      <c r="N65">
        <v>145.66999999999999</v>
      </c>
      <c r="O65" s="2">
        <v>38500.711608796293</v>
      </c>
    </row>
    <row r="66" spans="1:15" x14ac:dyDescent="0.25">
      <c r="A66">
        <v>58</v>
      </c>
      <c r="B66">
        <v>138</v>
      </c>
      <c r="C66" t="s">
        <v>169</v>
      </c>
      <c r="D66" t="s">
        <v>170</v>
      </c>
      <c r="E66">
        <v>34</v>
      </c>
      <c r="F66">
        <v>110.66</v>
      </c>
      <c r="G66" s="2">
        <v>38500.162106481483</v>
      </c>
      <c r="I66">
        <v>58</v>
      </c>
      <c r="J66">
        <v>436</v>
      </c>
      <c r="K66" t="s">
        <v>416</v>
      </c>
      <c r="L66" t="s">
        <v>417</v>
      </c>
      <c r="M66">
        <v>30</v>
      </c>
      <c r="N66">
        <v>144.69999999999999</v>
      </c>
      <c r="O66" s="2">
        <v>38500.162106481483</v>
      </c>
    </row>
    <row r="67" spans="1:15" x14ac:dyDescent="0.25">
      <c r="A67">
        <v>59</v>
      </c>
      <c r="B67">
        <v>522</v>
      </c>
      <c r="C67" t="s">
        <v>229</v>
      </c>
      <c r="D67" t="s">
        <v>230</v>
      </c>
      <c r="E67">
        <v>33</v>
      </c>
      <c r="F67">
        <v>167.67</v>
      </c>
      <c r="G67" s="2">
        <v>38499.664548611108</v>
      </c>
      <c r="I67">
        <v>59</v>
      </c>
      <c r="J67">
        <v>277</v>
      </c>
      <c r="K67" t="s">
        <v>269</v>
      </c>
      <c r="L67" t="s">
        <v>270</v>
      </c>
      <c r="M67">
        <v>32</v>
      </c>
      <c r="N67">
        <v>144.68</v>
      </c>
      <c r="O67" s="2">
        <v>38499.664548611108</v>
      </c>
    </row>
    <row r="68" spans="1:15" x14ac:dyDescent="0.25">
      <c r="A68">
        <v>60</v>
      </c>
      <c r="B68">
        <v>462</v>
      </c>
      <c r="C68" t="s">
        <v>170</v>
      </c>
      <c r="D68" t="s">
        <v>228</v>
      </c>
      <c r="E68">
        <v>33</v>
      </c>
      <c r="F68">
        <v>159.66999999999999</v>
      </c>
      <c r="G68" s="2">
        <v>38498.054918981485</v>
      </c>
      <c r="I68">
        <v>60</v>
      </c>
      <c r="J68">
        <v>237</v>
      </c>
      <c r="K68" t="s">
        <v>215</v>
      </c>
      <c r="L68" t="s">
        <v>216</v>
      </c>
      <c r="M68">
        <v>33</v>
      </c>
      <c r="N68">
        <v>144.66999999999999</v>
      </c>
      <c r="O68" s="2">
        <v>38498.054918981485</v>
      </c>
    </row>
    <row r="69" spans="1:15" x14ac:dyDescent="0.25">
      <c r="A69">
        <v>61</v>
      </c>
      <c r="B69">
        <v>390</v>
      </c>
      <c r="C69" t="s">
        <v>220</v>
      </c>
      <c r="D69" t="s">
        <v>221</v>
      </c>
      <c r="E69">
        <v>33</v>
      </c>
      <c r="F69">
        <v>152.66999999999999</v>
      </c>
      <c r="G69" s="2">
        <v>38498.613749999997</v>
      </c>
      <c r="I69">
        <v>61</v>
      </c>
      <c r="J69">
        <v>66</v>
      </c>
      <c r="K69" t="s">
        <v>163</v>
      </c>
      <c r="L69" t="s">
        <v>164</v>
      </c>
      <c r="M69">
        <v>34</v>
      </c>
      <c r="N69">
        <v>144.66</v>
      </c>
      <c r="O69" s="2">
        <v>38498.613749999997</v>
      </c>
    </row>
    <row r="70" spans="1:15" x14ac:dyDescent="0.25">
      <c r="A70">
        <v>62</v>
      </c>
      <c r="B70">
        <v>7</v>
      </c>
      <c r="C70" t="s">
        <v>197</v>
      </c>
      <c r="D70" t="s">
        <v>198</v>
      </c>
      <c r="E70">
        <v>33</v>
      </c>
      <c r="F70">
        <v>151.66999999999999</v>
      </c>
      <c r="G70" s="2">
        <v>38497.252870370372</v>
      </c>
      <c r="I70">
        <v>62</v>
      </c>
      <c r="J70">
        <v>5</v>
      </c>
      <c r="K70" t="s">
        <v>65</v>
      </c>
      <c r="L70" t="s">
        <v>66</v>
      </c>
      <c r="M70">
        <v>38</v>
      </c>
      <c r="N70">
        <v>144.62</v>
      </c>
      <c r="O70" s="2">
        <v>38497.252870370372</v>
      </c>
    </row>
    <row r="71" spans="1:15" x14ac:dyDescent="0.25">
      <c r="A71">
        <v>63</v>
      </c>
      <c r="B71">
        <v>454</v>
      </c>
      <c r="C71" t="s">
        <v>226</v>
      </c>
      <c r="D71" t="s">
        <v>227</v>
      </c>
      <c r="E71">
        <v>33</v>
      </c>
      <c r="F71">
        <v>151.66999999999999</v>
      </c>
      <c r="G71" s="2">
        <v>38501.339039351849</v>
      </c>
      <c r="I71">
        <v>63</v>
      </c>
      <c r="J71">
        <v>337</v>
      </c>
      <c r="K71" t="s">
        <v>465</v>
      </c>
      <c r="L71" t="s">
        <v>466</v>
      </c>
      <c r="M71">
        <v>29</v>
      </c>
      <c r="N71">
        <v>143.71</v>
      </c>
      <c r="O71" s="2">
        <v>38501.339039351849</v>
      </c>
    </row>
    <row r="72" spans="1:15" x14ac:dyDescent="0.25">
      <c r="A72">
        <v>64</v>
      </c>
      <c r="B72">
        <v>86</v>
      </c>
      <c r="C72" t="s">
        <v>205</v>
      </c>
      <c r="D72" t="s">
        <v>206</v>
      </c>
      <c r="E72">
        <v>33</v>
      </c>
      <c r="F72">
        <v>148.66999999999999</v>
      </c>
      <c r="G72" s="2">
        <v>38497.399444444447</v>
      </c>
      <c r="I72">
        <v>64</v>
      </c>
      <c r="J72">
        <v>363</v>
      </c>
      <c r="K72" t="s">
        <v>469</v>
      </c>
      <c r="L72" t="s">
        <v>470</v>
      </c>
      <c r="M72">
        <v>29</v>
      </c>
      <c r="N72">
        <v>143.71</v>
      </c>
      <c r="O72" s="2">
        <v>38497.399444444447</v>
      </c>
    </row>
    <row r="73" spans="1:15" x14ac:dyDescent="0.25">
      <c r="A73">
        <v>65</v>
      </c>
      <c r="B73">
        <v>172</v>
      </c>
      <c r="C73" t="s">
        <v>211</v>
      </c>
      <c r="D73" t="s">
        <v>212</v>
      </c>
      <c r="E73">
        <v>33</v>
      </c>
      <c r="F73">
        <v>145.66999999999999</v>
      </c>
      <c r="G73" s="2">
        <v>38499.800868055558</v>
      </c>
      <c r="I73">
        <v>65</v>
      </c>
      <c r="J73">
        <v>120</v>
      </c>
      <c r="K73" t="s">
        <v>243</v>
      </c>
      <c r="L73" t="s">
        <v>244</v>
      </c>
      <c r="M73">
        <v>32</v>
      </c>
      <c r="N73">
        <v>143.68</v>
      </c>
      <c r="O73" s="2">
        <v>38499.800868055558</v>
      </c>
    </row>
    <row r="74" spans="1:15" x14ac:dyDescent="0.25">
      <c r="A74">
        <v>66</v>
      </c>
      <c r="B74">
        <v>237</v>
      </c>
      <c r="C74" t="s">
        <v>215</v>
      </c>
      <c r="D74" t="s">
        <v>216</v>
      </c>
      <c r="E74">
        <v>33</v>
      </c>
      <c r="F74">
        <v>144.66999999999999</v>
      </c>
      <c r="G74" s="2">
        <v>38497.908680555556</v>
      </c>
      <c r="I74">
        <v>66</v>
      </c>
      <c r="J74">
        <v>289</v>
      </c>
      <c r="K74" t="s">
        <v>386</v>
      </c>
      <c r="L74" t="s">
        <v>387</v>
      </c>
      <c r="M74">
        <v>30</v>
      </c>
      <c r="N74">
        <v>142.69999999999999</v>
      </c>
      <c r="O74" s="2">
        <v>38497.908680555556</v>
      </c>
    </row>
    <row r="75" spans="1:15" x14ac:dyDescent="0.25">
      <c r="A75">
        <v>67</v>
      </c>
      <c r="B75">
        <v>84</v>
      </c>
      <c r="C75" t="s">
        <v>203</v>
      </c>
      <c r="D75" t="s">
        <v>204</v>
      </c>
      <c r="E75">
        <v>33</v>
      </c>
      <c r="F75">
        <v>141.66999999999999</v>
      </c>
      <c r="G75" s="2">
        <v>38499.581701388888</v>
      </c>
      <c r="I75">
        <v>67</v>
      </c>
      <c r="J75">
        <v>347</v>
      </c>
      <c r="K75" t="s">
        <v>400</v>
      </c>
      <c r="L75" t="s">
        <v>401</v>
      </c>
      <c r="M75">
        <v>30</v>
      </c>
      <c r="N75">
        <v>142.69999999999999</v>
      </c>
      <c r="O75" s="2">
        <v>38499.581701388888</v>
      </c>
    </row>
    <row r="76" spans="1:15" x14ac:dyDescent="0.25">
      <c r="A76">
        <v>68</v>
      </c>
      <c r="B76">
        <v>533</v>
      </c>
      <c r="C76" t="s">
        <v>231</v>
      </c>
      <c r="D76" t="s">
        <v>232</v>
      </c>
      <c r="E76">
        <v>33</v>
      </c>
      <c r="F76">
        <v>141.66999999999999</v>
      </c>
      <c r="G76" s="2">
        <v>38498.154282407406</v>
      </c>
      <c r="I76">
        <v>68</v>
      </c>
      <c r="J76">
        <v>46</v>
      </c>
      <c r="K76" t="s">
        <v>160</v>
      </c>
      <c r="L76" t="s">
        <v>161</v>
      </c>
      <c r="M76">
        <v>34</v>
      </c>
      <c r="N76">
        <v>142.66</v>
      </c>
      <c r="O76" s="2">
        <v>38498.154282407406</v>
      </c>
    </row>
    <row r="77" spans="1:15" x14ac:dyDescent="0.25">
      <c r="A77">
        <v>69</v>
      </c>
      <c r="B77">
        <v>114</v>
      </c>
      <c r="C77" t="s">
        <v>209</v>
      </c>
      <c r="D77" t="s">
        <v>210</v>
      </c>
      <c r="E77">
        <v>33</v>
      </c>
      <c r="F77">
        <v>139.66999999999999</v>
      </c>
      <c r="G77" s="2">
        <v>38498.333067129628</v>
      </c>
      <c r="I77">
        <v>69</v>
      </c>
      <c r="J77">
        <v>239</v>
      </c>
      <c r="K77" t="s">
        <v>181</v>
      </c>
      <c r="L77" t="s">
        <v>182</v>
      </c>
      <c r="M77">
        <v>34</v>
      </c>
      <c r="N77">
        <v>142.66</v>
      </c>
      <c r="O77" s="2">
        <v>38498.333067129628</v>
      </c>
    </row>
    <row r="78" spans="1:15" x14ac:dyDescent="0.25">
      <c r="A78">
        <v>70</v>
      </c>
      <c r="B78">
        <v>51</v>
      </c>
      <c r="C78" t="s">
        <v>199</v>
      </c>
      <c r="D78" t="s">
        <v>200</v>
      </c>
      <c r="E78">
        <v>33</v>
      </c>
      <c r="F78">
        <v>138.66999999999999</v>
      </c>
      <c r="G78" s="2">
        <v>38497.817384259259</v>
      </c>
      <c r="I78">
        <v>70</v>
      </c>
      <c r="J78">
        <v>39</v>
      </c>
      <c r="K78" t="s">
        <v>436</v>
      </c>
      <c r="L78" t="s">
        <v>437</v>
      </c>
      <c r="M78">
        <v>29</v>
      </c>
      <c r="N78">
        <v>141.71</v>
      </c>
      <c r="O78" s="2">
        <v>38497.817384259259</v>
      </c>
    </row>
    <row r="79" spans="1:15" x14ac:dyDescent="0.25">
      <c r="A79">
        <v>71</v>
      </c>
      <c r="B79">
        <v>102</v>
      </c>
      <c r="C79" t="s">
        <v>207</v>
      </c>
      <c r="D79" t="s">
        <v>208</v>
      </c>
      <c r="E79">
        <v>33</v>
      </c>
      <c r="F79">
        <v>137.66999999999999</v>
      </c>
      <c r="G79" s="2">
        <v>38498.584085648145</v>
      </c>
      <c r="I79">
        <v>71</v>
      </c>
      <c r="J79">
        <v>472</v>
      </c>
      <c r="K79" t="s">
        <v>420</v>
      </c>
      <c r="L79" t="s">
        <v>421</v>
      </c>
      <c r="M79">
        <v>30</v>
      </c>
      <c r="N79">
        <v>141.69999999999999</v>
      </c>
      <c r="O79" s="2">
        <v>38498.584085648145</v>
      </c>
    </row>
    <row r="80" spans="1:15" x14ac:dyDescent="0.25">
      <c r="A80">
        <v>72</v>
      </c>
      <c r="B80">
        <v>438</v>
      </c>
      <c r="C80" t="s">
        <v>222</v>
      </c>
      <c r="D80" t="s">
        <v>223</v>
      </c>
      <c r="E80">
        <v>33</v>
      </c>
      <c r="F80">
        <v>134.66999999999999</v>
      </c>
      <c r="G80" s="2">
        <v>38497.111354166664</v>
      </c>
      <c r="I80">
        <v>72</v>
      </c>
      <c r="J80">
        <v>78</v>
      </c>
      <c r="K80" t="s">
        <v>305</v>
      </c>
      <c r="L80" t="s">
        <v>306</v>
      </c>
      <c r="M80">
        <v>31</v>
      </c>
      <c r="N80">
        <v>141.69</v>
      </c>
      <c r="O80" s="2">
        <v>38497.111354166664</v>
      </c>
    </row>
    <row r="81" spans="1:15" x14ac:dyDescent="0.25">
      <c r="A81">
        <v>73</v>
      </c>
      <c r="B81">
        <v>314</v>
      </c>
      <c r="C81" t="s">
        <v>214</v>
      </c>
      <c r="D81" t="s">
        <v>219</v>
      </c>
      <c r="E81">
        <v>33</v>
      </c>
      <c r="F81">
        <v>131.66999999999999</v>
      </c>
      <c r="G81" s="2">
        <v>38497.508414351854</v>
      </c>
      <c r="I81">
        <v>73</v>
      </c>
      <c r="J81">
        <v>84</v>
      </c>
      <c r="K81" t="s">
        <v>203</v>
      </c>
      <c r="L81" t="s">
        <v>204</v>
      </c>
      <c r="M81">
        <v>33</v>
      </c>
      <c r="N81">
        <v>141.66999999999999</v>
      </c>
      <c r="O81" s="2">
        <v>38497.508414351854</v>
      </c>
    </row>
    <row r="82" spans="1:15" x14ac:dyDescent="0.25">
      <c r="A82">
        <v>74</v>
      </c>
      <c r="B82">
        <v>297</v>
      </c>
      <c r="C82" t="s">
        <v>217</v>
      </c>
      <c r="D82" t="s">
        <v>218</v>
      </c>
      <c r="E82">
        <v>33</v>
      </c>
      <c r="F82">
        <v>128.66999999999999</v>
      </c>
      <c r="G82" s="2">
        <v>38497.990185185183</v>
      </c>
      <c r="I82">
        <v>74</v>
      </c>
      <c r="J82">
        <v>533</v>
      </c>
      <c r="K82" t="s">
        <v>231</v>
      </c>
      <c r="L82" t="s">
        <v>232</v>
      </c>
      <c r="M82">
        <v>33</v>
      </c>
      <c r="N82">
        <v>141.66999999999999</v>
      </c>
      <c r="O82" s="2">
        <v>38497.990185185183</v>
      </c>
    </row>
    <row r="83" spans="1:15" x14ac:dyDescent="0.25">
      <c r="A83">
        <v>75</v>
      </c>
      <c r="B83">
        <v>451</v>
      </c>
      <c r="C83" t="s">
        <v>224</v>
      </c>
      <c r="D83" t="s">
        <v>225</v>
      </c>
      <c r="E83">
        <v>33</v>
      </c>
      <c r="F83">
        <v>128.66999999999999</v>
      </c>
      <c r="G83" s="2">
        <v>38497.480543981481</v>
      </c>
      <c r="I83">
        <v>75</v>
      </c>
      <c r="J83">
        <v>566</v>
      </c>
      <c r="K83" t="s">
        <v>193</v>
      </c>
      <c r="L83" t="s">
        <v>194</v>
      </c>
      <c r="M83">
        <v>34</v>
      </c>
      <c r="N83">
        <v>141.66</v>
      </c>
      <c r="O83" s="2">
        <v>38497.480543981481</v>
      </c>
    </row>
    <row r="84" spans="1:15" x14ac:dyDescent="0.25">
      <c r="A84">
        <v>76</v>
      </c>
      <c r="B84">
        <v>230</v>
      </c>
      <c r="C84" t="s">
        <v>213</v>
      </c>
      <c r="D84" t="s">
        <v>214</v>
      </c>
      <c r="E84">
        <v>33</v>
      </c>
      <c r="F84">
        <v>124.67</v>
      </c>
      <c r="G84" s="2">
        <v>38497.171076388891</v>
      </c>
      <c r="I84">
        <v>76</v>
      </c>
      <c r="J84">
        <v>198</v>
      </c>
      <c r="K84" t="s">
        <v>85</v>
      </c>
      <c r="L84" t="s">
        <v>86</v>
      </c>
      <c r="M84">
        <v>37</v>
      </c>
      <c r="N84">
        <v>141.63</v>
      </c>
      <c r="O84" s="2">
        <v>38497.171076388891</v>
      </c>
    </row>
    <row r="85" spans="1:15" x14ac:dyDescent="0.25">
      <c r="A85">
        <v>77</v>
      </c>
      <c r="B85">
        <v>64</v>
      </c>
      <c r="C85" t="s">
        <v>201</v>
      </c>
      <c r="D85" t="s">
        <v>202</v>
      </c>
      <c r="E85">
        <v>33</v>
      </c>
      <c r="F85">
        <v>100.67</v>
      </c>
      <c r="G85" s="2">
        <v>38500.027442129627</v>
      </c>
      <c r="I85">
        <v>77</v>
      </c>
      <c r="J85">
        <v>494</v>
      </c>
      <c r="K85" t="s">
        <v>343</v>
      </c>
      <c r="L85" t="s">
        <v>344</v>
      </c>
      <c r="M85">
        <v>31</v>
      </c>
      <c r="N85">
        <v>140.69</v>
      </c>
      <c r="O85" s="2">
        <v>38500.027442129627</v>
      </c>
    </row>
    <row r="86" spans="1:15" x14ac:dyDescent="0.25">
      <c r="A86">
        <v>78</v>
      </c>
      <c r="B86">
        <v>259</v>
      </c>
      <c r="C86" t="s">
        <v>267</v>
      </c>
      <c r="D86" t="s">
        <v>268</v>
      </c>
      <c r="E86">
        <v>32</v>
      </c>
      <c r="F86">
        <v>168.68</v>
      </c>
      <c r="G86" s="2">
        <v>38501.229525462964</v>
      </c>
      <c r="I86">
        <v>78</v>
      </c>
      <c r="J86">
        <v>242</v>
      </c>
      <c r="K86" t="s">
        <v>259</v>
      </c>
      <c r="L86" t="s">
        <v>260</v>
      </c>
      <c r="M86">
        <v>32</v>
      </c>
      <c r="N86">
        <v>140.68</v>
      </c>
      <c r="O86" s="2">
        <v>38501.229525462964</v>
      </c>
    </row>
    <row r="87" spans="1:15" x14ac:dyDescent="0.25">
      <c r="A87">
        <v>79</v>
      </c>
      <c r="B87">
        <v>209</v>
      </c>
      <c r="C87" t="s">
        <v>257</v>
      </c>
      <c r="D87" t="s">
        <v>258</v>
      </c>
      <c r="E87">
        <v>32</v>
      </c>
      <c r="F87">
        <v>161.68</v>
      </c>
      <c r="G87" s="2">
        <v>38499.163483796299</v>
      </c>
      <c r="I87">
        <v>79</v>
      </c>
      <c r="J87">
        <v>29</v>
      </c>
      <c r="K87" t="s">
        <v>94</v>
      </c>
      <c r="L87" t="s">
        <v>95</v>
      </c>
      <c r="M87">
        <v>36</v>
      </c>
      <c r="N87">
        <v>140.63999999999999</v>
      </c>
      <c r="O87" s="2">
        <v>38499.163483796299</v>
      </c>
    </row>
    <row r="88" spans="1:15" x14ac:dyDescent="0.25">
      <c r="A88">
        <v>80</v>
      </c>
      <c r="B88">
        <v>470</v>
      </c>
      <c r="C88" t="s">
        <v>289</v>
      </c>
      <c r="D88" t="s">
        <v>290</v>
      </c>
      <c r="E88">
        <v>32</v>
      </c>
      <c r="F88">
        <v>160.68</v>
      </c>
      <c r="G88" s="2">
        <v>38497.373900462961</v>
      </c>
      <c r="I88">
        <v>80</v>
      </c>
      <c r="J88">
        <v>146</v>
      </c>
      <c r="K88" t="s">
        <v>444</v>
      </c>
      <c r="L88" t="s">
        <v>445</v>
      </c>
      <c r="M88">
        <v>29</v>
      </c>
      <c r="N88">
        <v>139.71</v>
      </c>
      <c r="O88" s="2">
        <v>38497.373900462961</v>
      </c>
    </row>
    <row r="89" spans="1:15" x14ac:dyDescent="0.25">
      <c r="A89">
        <v>81</v>
      </c>
      <c r="B89">
        <v>550</v>
      </c>
      <c r="C89" t="s">
        <v>299</v>
      </c>
      <c r="D89" t="s">
        <v>300</v>
      </c>
      <c r="E89">
        <v>32</v>
      </c>
      <c r="F89">
        <v>159.68</v>
      </c>
      <c r="G89" s="2">
        <v>38502.497164351851</v>
      </c>
      <c r="I89">
        <v>81</v>
      </c>
      <c r="J89">
        <v>467</v>
      </c>
      <c r="K89" t="s">
        <v>479</v>
      </c>
      <c r="L89" t="s">
        <v>480</v>
      </c>
      <c r="M89">
        <v>29</v>
      </c>
      <c r="N89">
        <v>139.71</v>
      </c>
      <c r="O89" s="2">
        <v>38502.497164351851</v>
      </c>
    </row>
    <row r="90" spans="1:15" x14ac:dyDescent="0.25">
      <c r="A90">
        <v>82</v>
      </c>
      <c r="B90">
        <v>346</v>
      </c>
      <c r="C90" t="s">
        <v>277</v>
      </c>
      <c r="D90" t="s">
        <v>278</v>
      </c>
      <c r="E90">
        <v>32</v>
      </c>
      <c r="F90">
        <v>155.68</v>
      </c>
      <c r="G90" s="2">
        <v>38497.397256944445</v>
      </c>
      <c r="I90">
        <v>82</v>
      </c>
      <c r="J90">
        <v>404</v>
      </c>
      <c r="K90" t="s">
        <v>408</v>
      </c>
      <c r="L90" t="s">
        <v>409</v>
      </c>
      <c r="M90">
        <v>30</v>
      </c>
      <c r="N90">
        <v>139.69999999999999</v>
      </c>
      <c r="O90" s="2">
        <v>38497.397256944445</v>
      </c>
    </row>
    <row r="91" spans="1:15" x14ac:dyDescent="0.25">
      <c r="A91">
        <v>83</v>
      </c>
      <c r="B91">
        <v>532</v>
      </c>
      <c r="C91" t="s">
        <v>295</v>
      </c>
      <c r="D91" t="s">
        <v>296</v>
      </c>
      <c r="E91">
        <v>32</v>
      </c>
      <c r="F91">
        <v>152.68</v>
      </c>
      <c r="G91" s="2">
        <v>38497.235706018517</v>
      </c>
      <c r="I91">
        <v>83</v>
      </c>
      <c r="J91">
        <v>484</v>
      </c>
      <c r="K91" t="s">
        <v>422</v>
      </c>
      <c r="L91" t="s">
        <v>423</v>
      </c>
      <c r="M91">
        <v>30</v>
      </c>
      <c r="N91">
        <v>139.69999999999999</v>
      </c>
      <c r="O91" s="2">
        <v>38497.235706018517</v>
      </c>
    </row>
    <row r="92" spans="1:15" x14ac:dyDescent="0.25">
      <c r="A92">
        <v>84</v>
      </c>
      <c r="B92">
        <v>362</v>
      </c>
      <c r="C92" t="s">
        <v>279</v>
      </c>
      <c r="D92" t="s">
        <v>280</v>
      </c>
      <c r="E92">
        <v>32</v>
      </c>
      <c r="F92">
        <v>145.68</v>
      </c>
      <c r="G92" s="2">
        <v>38503.209131944444</v>
      </c>
      <c r="I92">
        <v>84</v>
      </c>
      <c r="J92">
        <v>114</v>
      </c>
      <c r="K92" t="s">
        <v>209</v>
      </c>
      <c r="L92" t="s">
        <v>210</v>
      </c>
      <c r="M92">
        <v>33</v>
      </c>
      <c r="N92">
        <v>139.66999999999999</v>
      </c>
      <c r="O92" s="2">
        <v>38503.209131944444</v>
      </c>
    </row>
    <row r="93" spans="1:15" x14ac:dyDescent="0.25">
      <c r="A93">
        <v>85</v>
      </c>
      <c r="B93">
        <v>277</v>
      </c>
      <c r="C93" t="s">
        <v>269</v>
      </c>
      <c r="D93" t="s">
        <v>270</v>
      </c>
      <c r="E93">
        <v>32</v>
      </c>
      <c r="F93">
        <v>144.68</v>
      </c>
      <c r="G93" s="2">
        <v>38498.917812500003</v>
      </c>
      <c r="I93">
        <v>85</v>
      </c>
      <c r="J93">
        <v>576</v>
      </c>
      <c r="K93" t="s">
        <v>195</v>
      </c>
      <c r="L93" t="s">
        <v>196</v>
      </c>
      <c r="M93">
        <v>34</v>
      </c>
      <c r="N93">
        <v>139.66</v>
      </c>
      <c r="O93" s="2">
        <v>38498.917812500003</v>
      </c>
    </row>
    <row r="94" spans="1:15" x14ac:dyDescent="0.25">
      <c r="A94">
        <v>86</v>
      </c>
      <c r="B94">
        <v>120</v>
      </c>
      <c r="C94" t="s">
        <v>243</v>
      </c>
      <c r="D94" t="s">
        <v>244</v>
      </c>
      <c r="E94">
        <v>32</v>
      </c>
      <c r="F94">
        <v>143.68</v>
      </c>
      <c r="G94" s="2">
        <v>38497.407997685186</v>
      </c>
      <c r="I94">
        <v>86</v>
      </c>
      <c r="J94">
        <v>349</v>
      </c>
      <c r="K94" t="s">
        <v>467</v>
      </c>
      <c r="L94" t="s">
        <v>468</v>
      </c>
      <c r="M94">
        <v>29</v>
      </c>
      <c r="N94">
        <v>138.71</v>
      </c>
      <c r="O94" s="2">
        <v>38497.407997685186</v>
      </c>
    </row>
    <row r="95" spans="1:15" x14ac:dyDescent="0.25">
      <c r="A95">
        <v>87</v>
      </c>
      <c r="B95">
        <v>242</v>
      </c>
      <c r="C95" t="s">
        <v>259</v>
      </c>
      <c r="D95" t="s">
        <v>260</v>
      </c>
      <c r="E95">
        <v>32</v>
      </c>
      <c r="F95">
        <v>140.68</v>
      </c>
      <c r="G95" s="2">
        <v>38497.770891203705</v>
      </c>
      <c r="I95">
        <v>87</v>
      </c>
      <c r="J95">
        <v>482</v>
      </c>
      <c r="K95" t="s">
        <v>483</v>
      </c>
      <c r="L95" t="s">
        <v>484</v>
      </c>
      <c r="M95">
        <v>29</v>
      </c>
      <c r="N95">
        <v>138.71</v>
      </c>
      <c r="O95" s="2">
        <v>38497.770891203705</v>
      </c>
    </row>
    <row r="96" spans="1:15" x14ac:dyDescent="0.25">
      <c r="A96">
        <v>88</v>
      </c>
      <c r="B96">
        <v>306</v>
      </c>
      <c r="C96" t="s">
        <v>271</v>
      </c>
      <c r="D96" t="s">
        <v>272</v>
      </c>
      <c r="E96">
        <v>32</v>
      </c>
      <c r="F96">
        <v>138.68</v>
      </c>
      <c r="G96" s="2">
        <v>38499.367604166669</v>
      </c>
      <c r="I96">
        <v>88</v>
      </c>
      <c r="J96">
        <v>306</v>
      </c>
      <c r="K96" t="s">
        <v>271</v>
      </c>
      <c r="L96" t="s">
        <v>272</v>
      </c>
      <c r="M96">
        <v>32</v>
      </c>
      <c r="N96">
        <v>138.68</v>
      </c>
      <c r="O96" s="2">
        <v>38499.367604166669</v>
      </c>
    </row>
    <row r="97" spans="1:15" x14ac:dyDescent="0.25">
      <c r="A97">
        <v>89</v>
      </c>
      <c r="B97">
        <v>125</v>
      </c>
      <c r="C97" t="s">
        <v>247</v>
      </c>
      <c r="D97" t="s">
        <v>248</v>
      </c>
      <c r="E97">
        <v>32</v>
      </c>
      <c r="F97">
        <v>135.68</v>
      </c>
      <c r="G97" s="2">
        <v>38498.229201388887</v>
      </c>
      <c r="I97">
        <v>89</v>
      </c>
      <c r="J97">
        <v>51</v>
      </c>
      <c r="K97" t="s">
        <v>199</v>
      </c>
      <c r="L97" t="s">
        <v>200</v>
      </c>
      <c r="M97">
        <v>33</v>
      </c>
      <c r="N97">
        <v>138.66999999999999</v>
      </c>
      <c r="O97" s="2">
        <v>38498.229201388887</v>
      </c>
    </row>
    <row r="98" spans="1:15" x14ac:dyDescent="0.25">
      <c r="A98">
        <v>90</v>
      </c>
      <c r="B98">
        <v>535</v>
      </c>
      <c r="C98" t="s">
        <v>297</v>
      </c>
      <c r="D98" t="s">
        <v>298</v>
      </c>
      <c r="E98">
        <v>32</v>
      </c>
      <c r="F98">
        <v>135.68</v>
      </c>
      <c r="G98" s="2">
        <v>38497.197581018518</v>
      </c>
      <c r="I98">
        <v>90</v>
      </c>
      <c r="J98">
        <v>502</v>
      </c>
      <c r="K98" t="s">
        <v>191</v>
      </c>
      <c r="L98" t="s">
        <v>192</v>
      </c>
      <c r="M98">
        <v>34</v>
      </c>
      <c r="N98">
        <v>138.66</v>
      </c>
      <c r="O98" s="2">
        <v>38497.197581018518</v>
      </c>
    </row>
    <row r="99" spans="1:15" x14ac:dyDescent="0.25">
      <c r="A99">
        <v>91</v>
      </c>
      <c r="B99">
        <v>15</v>
      </c>
      <c r="C99" t="s">
        <v>235</v>
      </c>
      <c r="D99" t="s">
        <v>236</v>
      </c>
      <c r="E99">
        <v>32</v>
      </c>
      <c r="F99">
        <v>134.68</v>
      </c>
      <c r="G99" s="2">
        <v>38521.893703703703</v>
      </c>
      <c r="I99">
        <v>91</v>
      </c>
      <c r="J99">
        <v>80</v>
      </c>
      <c r="K99" t="s">
        <v>360</v>
      </c>
      <c r="L99" t="s">
        <v>361</v>
      </c>
      <c r="M99">
        <v>30</v>
      </c>
      <c r="N99">
        <v>137.69999999999999</v>
      </c>
      <c r="O99" s="2">
        <v>38521.893703703703</v>
      </c>
    </row>
    <row r="100" spans="1:15" x14ac:dyDescent="0.25">
      <c r="A100">
        <v>92</v>
      </c>
      <c r="B100">
        <v>89</v>
      </c>
      <c r="C100" t="s">
        <v>241</v>
      </c>
      <c r="D100" t="s">
        <v>242</v>
      </c>
      <c r="E100">
        <v>32</v>
      </c>
      <c r="F100">
        <v>134.68</v>
      </c>
      <c r="G100" s="2">
        <v>38497.982557870368</v>
      </c>
      <c r="I100">
        <v>92</v>
      </c>
      <c r="J100">
        <v>210</v>
      </c>
      <c r="K100" t="s">
        <v>313</v>
      </c>
      <c r="L100" t="s">
        <v>314</v>
      </c>
      <c r="M100">
        <v>31</v>
      </c>
      <c r="N100">
        <v>137.69</v>
      </c>
      <c r="O100" s="2">
        <v>38497.982557870368</v>
      </c>
    </row>
    <row r="101" spans="1:15" x14ac:dyDescent="0.25">
      <c r="A101">
        <v>93</v>
      </c>
      <c r="B101">
        <v>520</v>
      </c>
      <c r="C101" t="s">
        <v>293</v>
      </c>
      <c r="D101" t="s">
        <v>294</v>
      </c>
      <c r="E101">
        <v>32</v>
      </c>
      <c r="F101">
        <v>134.68</v>
      </c>
      <c r="G101" s="2">
        <v>38502.781446759262</v>
      </c>
      <c r="I101">
        <v>93</v>
      </c>
      <c r="J101">
        <v>300</v>
      </c>
      <c r="K101" t="s">
        <v>325</v>
      </c>
      <c r="L101" t="s">
        <v>326</v>
      </c>
      <c r="M101">
        <v>31</v>
      </c>
      <c r="N101">
        <v>137.69</v>
      </c>
      <c r="O101" s="2">
        <v>38502.781446759262</v>
      </c>
    </row>
    <row r="102" spans="1:15" x14ac:dyDescent="0.25">
      <c r="A102">
        <v>94</v>
      </c>
      <c r="B102">
        <v>569</v>
      </c>
      <c r="C102" t="s">
        <v>301</v>
      </c>
      <c r="D102" t="s">
        <v>302</v>
      </c>
      <c r="E102">
        <v>32</v>
      </c>
      <c r="F102">
        <v>134.68</v>
      </c>
      <c r="G102" s="2">
        <v>38497.305046296293</v>
      </c>
      <c r="I102">
        <v>94</v>
      </c>
      <c r="J102">
        <v>102</v>
      </c>
      <c r="K102" t="s">
        <v>207</v>
      </c>
      <c r="L102" t="s">
        <v>208</v>
      </c>
      <c r="M102">
        <v>33</v>
      </c>
      <c r="N102">
        <v>137.66999999999999</v>
      </c>
      <c r="O102" s="2">
        <v>38497.305046296293</v>
      </c>
    </row>
    <row r="103" spans="1:15" x14ac:dyDescent="0.25">
      <c r="A103">
        <v>95</v>
      </c>
      <c r="B103">
        <v>245</v>
      </c>
      <c r="C103" t="s">
        <v>263</v>
      </c>
      <c r="D103" t="s">
        <v>264</v>
      </c>
      <c r="E103">
        <v>32</v>
      </c>
      <c r="F103">
        <v>132.68</v>
      </c>
      <c r="G103" s="2">
        <v>38497.507719907408</v>
      </c>
      <c r="I103">
        <v>95</v>
      </c>
      <c r="J103">
        <v>207</v>
      </c>
      <c r="K103" t="s">
        <v>177</v>
      </c>
      <c r="L103" t="s">
        <v>178</v>
      </c>
      <c r="M103">
        <v>34</v>
      </c>
      <c r="N103">
        <v>137.66</v>
      </c>
      <c r="O103" s="2">
        <v>38497.507719907408</v>
      </c>
    </row>
    <row r="104" spans="1:15" x14ac:dyDescent="0.25">
      <c r="A104">
        <v>96</v>
      </c>
      <c r="B104">
        <v>141</v>
      </c>
      <c r="C104" t="s">
        <v>251</v>
      </c>
      <c r="D104" t="s">
        <v>252</v>
      </c>
      <c r="E104">
        <v>32</v>
      </c>
      <c r="F104">
        <v>130.68</v>
      </c>
      <c r="G104" s="2">
        <v>38502.531215277777</v>
      </c>
      <c r="I104">
        <v>96</v>
      </c>
      <c r="J104">
        <v>200</v>
      </c>
      <c r="K104" t="s">
        <v>611</v>
      </c>
      <c r="L104" t="s">
        <v>612</v>
      </c>
      <c r="M104">
        <v>27</v>
      </c>
      <c r="N104">
        <v>136.72999999999999</v>
      </c>
      <c r="O104" s="2">
        <v>38502.531215277777</v>
      </c>
    </row>
    <row r="105" spans="1:15" x14ac:dyDescent="0.25">
      <c r="A105">
        <v>97</v>
      </c>
      <c r="B105">
        <v>342</v>
      </c>
      <c r="C105" t="s">
        <v>275</v>
      </c>
      <c r="D105" t="s">
        <v>276</v>
      </c>
      <c r="E105">
        <v>32</v>
      </c>
      <c r="F105">
        <v>130.68</v>
      </c>
      <c r="G105" s="2">
        <v>38521.062395833331</v>
      </c>
      <c r="I105">
        <v>97</v>
      </c>
      <c r="J105">
        <v>380</v>
      </c>
      <c r="K105" t="s">
        <v>106</v>
      </c>
      <c r="L105" t="s">
        <v>107</v>
      </c>
      <c r="M105">
        <v>36</v>
      </c>
      <c r="N105">
        <v>136.63999999999999</v>
      </c>
      <c r="O105" s="2">
        <v>38521.062395833331</v>
      </c>
    </row>
    <row r="106" spans="1:15" x14ac:dyDescent="0.25">
      <c r="A106">
        <v>98</v>
      </c>
      <c r="B106">
        <v>35</v>
      </c>
      <c r="C106" t="s">
        <v>239</v>
      </c>
      <c r="D106" t="s">
        <v>240</v>
      </c>
      <c r="E106">
        <v>32</v>
      </c>
      <c r="F106">
        <v>129.68</v>
      </c>
      <c r="G106" s="2">
        <v>38497.253703703704</v>
      </c>
      <c r="I106">
        <v>98</v>
      </c>
      <c r="J106">
        <v>3</v>
      </c>
      <c r="K106" t="s">
        <v>658</v>
      </c>
      <c r="L106" t="s">
        <v>659</v>
      </c>
      <c r="M106">
        <v>26</v>
      </c>
      <c r="N106">
        <v>135.74</v>
      </c>
      <c r="O106" s="2">
        <v>38497.253703703704</v>
      </c>
    </row>
    <row r="107" spans="1:15" x14ac:dyDescent="0.25">
      <c r="A107">
        <v>99</v>
      </c>
      <c r="B107">
        <v>244</v>
      </c>
      <c r="C107" t="s">
        <v>261</v>
      </c>
      <c r="D107" t="s">
        <v>262</v>
      </c>
      <c r="E107">
        <v>32</v>
      </c>
      <c r="F107">
        <v>129.68</v>
      </c>
      <c r="G107" s="2">
        <v>38500.556342592594</v>
      </c>
      <c r="I107">
        <v>99</v>
      </c>
      <c r="J107">
        <v>285</v>
      </c>
      <c r="K107" t="s">
        <v>702</v>
      </c>
      <c r="L107" t="s">
        <v>703</v>
      </c>
      <c r="M107">
        <v>26</v>
      </c>
      <c r="N107">
        <v>135.74</v>
      </c>
      <c r="O107" s="2">
        <v>38500.556342592594</v>
      </c>
    </row>
    <row r="108" spans="1:15" x14ac:dyDescent="0.25">
      <c r="A108">
        <v>100</v>
      </c>
      <c r="B108">
        <v>128</v>
      </c>
      <c r="C108" t="s">
        <v>249</v>
      </c>
      <c r="D108" t="s">
        <v>250</v>
      </c>
      <c r="E108">
        <v>32</v>
      </c>
      <c r="F108">
        <v>127.68</v>
      </c>
      <c r="G108" s="2">
        <v>38502.300856481481</v>
      </c>
      <c r="I108">
        <v>100</v>
      </c>
      <c r="J108">
        <v>558</v>
      </c>
      <c r="K108" t="s">
        <v>573</v>
      </c>
      <c r="L108" t="s">
        <v>574</v>
      </c>
      <c r="M108">
        <v>28</v>
      </c>
      <c r="N108">
        <v>135.72</v>
      </c>
      <c r="O108" s="2">
        <v>38502.300856481481</v>
      </c>
    </row>
    <row r="109" spans="1:15" x14ac:dyDescent="0.25">
      <c r="A109">
        <v>101</v>
      </c>
      <c r="B109">
        <v>329</v>
      </c>
      <c r="C109" t="s">
        <v>273</v>
      </c>
      <c r="D109" t="s">
        <v>274</v>
      </c>
      <c r="E109">
        <v>32</v>
      </c>
      <c r="F109">
        <v>127.68</v>
      </c>
      <c r="G109" s="2">
        <v>38518.034247685187</v>
      </c>
      <c r="I109">
        <v>101</v>
      </c>
      <c r="J109">
        <v>448</v>
      </c>
      <c r="K109" t="s">
        <v>477</v>
      </c>
      <c r="L109" t="s">
        <v>478</v>
      </c>
      <c r="M109">
        <v>29</v>
      </c>
      <c r="N109">
        <v>135.71</v>
      </c>
      <c r="O109" s="2">
        <v>38518.034247685187</v>
      </c>
    </row>
    <row r="110" spans="1:15" x14ac:dyDescent="0.25">
      <c r="A110">
        <v>102</v>
      </c>
      <c r="B110">
        <v>122</v>
      </c>
      <c r="C110" t="s">
        <v>245</v>
      </c>
      <c r="D110" t="s">
        <v>246</v>
      </c>
      <c r="E110">
        <v>32</v>
      </c>
      <c r="F110">
        <v>126.68</v>
      </c>
      <c r="G110" s="2">
        <v>38502.071886574071</v>
      </c>
      <c r="I110">
        <v>102</v>
      </c>
      <c r="J110">
        <v>56</v>
      </c>
      <c r="K110" t="s">
        <v>354</v>
      </c>
      <c r="L110" t="s">
        <v>355</v>
      </c>
      <c r="M110">
        <v>30</v>
      </c>
      <c r="N110">
        <v>135.69999999999999</v>
      </c>
      <c r="O110" s="2">
        <v>38502.071886574071</v>
      </c>
    </row>
    <row r="111" spans="1:15" x14ac:dyDescent="0.25">
      <c r="A111">
        <v>103</v>
      </c>
      <c r="B111">
        <v>158</v>
      </c>
      <c r="C111" t="s">
        <v>253</v>
      </c>
      <c r="D111" t="s">
        <v>254</v>
      </c>
      <c r="E111">
        <v>32</v>
      </c>
      <c r="F111">
        <v>126.68</v>
      </c>
      <c r="G111" s="2">
        <v>38498.574293981481</v>
      </c>
      <c r="I111">
        <v>103</v>
      </c>
      <c r="J111">
        <v>334</v>
      </c>
      <c r="K111" t="s">
        <v>394</v>
      </c>
      <c r="L111" t="s">
        <v>395</v>
      </c>
      <c r="M111">
        <v>30</v>
      </c>
      <c r="N111">
        <v>135.69999999999999</v>
      </c>
      <c r="O111" s="2">
        <v>38498.574293981481</v>
      </c>
    </row>
    <row r="112" spans="1:15" x14ac:dyDescent="0.25">
      <c r="A112">
        <v>104</v>
      </c>
      <c r="B112">
        <v>406</v>
      </c>
      <c r="C112" t="s">
        <v>283</v>
      </c>
      <c r="D112" t="s">
        <v>284</v>
      </c>
      <c r="E112">
        <v>32</v>
      </c>
      <c r="F112">
        <v>122.68</v>
      </c>
      <c r="G112" s="2">
        <v>38502.083657407406</v>
      </c>
      <c r="I112">
        <v>104</v>
      </c>
      <c r="J112">
        <v>279</v>
      </c>
      <c r="K112" t="s">
        <v>321</v>
      </c>
      <c r="L112" t="s">
        <v>322</v>
      </c>
      <c r="M112">
        <v>31</v>
      </c>
      <c r="N112">
        <v>135.69</v>
      </c>
      <c r="O112" s="2">
        <v>38502.083657407406</v>
      </c>
    </row>
    <row r="113" spans="1:15" x14ac:dyDescent="0.25">
      <c r="A113">
        <v>105</v>
      </c>
      <c r="B113">
        <v>167</v>
      </c>
      <c r="C113" t="s">
        <v>255</v>
      </c>
      <c r="D113" t="s">
        <v>256</v>
      </c>
      <c r="E113">
        <v>32</v>
      </c>
      <c r="F113">
        <v>119.68</v>
      </c>
      <c r="G113" s="2">
        <v>38498.775671296295</v>
      </c>
      <c r="I113">
        <v>105</v>
      </c>
      <c r="J113">
        <v>125</v>
      </c>
      <c r="K113" t="s">
        <v>247</v>
      </c>
      <c r="L113" t="s">
        <v>248</v>
      </c>
      <c r="M113">
        <v>32</v>
      </c>
      <c r="N113">
        <v>135.68</v>
      </c>
      <c r="O113" s="2">
        <v>38498.775671296295</v>
      </c>
    </row>
    <row r="114" spans="1:15" x14ac:dyDescent="0.25">
      <c r="A114">
        <v>106</v>
      </c>
      <c r="B114">
        <v>1</v>
      </c>
      <c r="C114" t="s">
        <v>233</v>
      </c>
      <c r="D114" t="s">
        <v>234</v>
      </c>
      <c r="E114">
        <v>32</v>
      </c>
      <c r="F114">
        <v>118.68</v>
      </c>
      <c r="G114" s="2">
        <v>38497.479594907411</v>
      </c>
      <c r="I114">
        <v>106</v>
      </c>
      <c r="J114">
        <v>535</v>
      </c>
      <c r="K114" t="s">
        <v>297</v>
      </c>
      <c r="L114" t="s">
        <v>298</v>
      </c>
      <c r="M114">
        <v>32</v>
      </c>
      <c r="N114">
        <v>135.68</v>
      </c>
      <c r="O114" s="2">
        <v>38497.479594907411</v>
      </c>
    </row>
    <row r="115" spans="1:15" x14ac:dyDescent="0.25">
      <c r="A115">
        <v>107</v>
      </c>
      <c r="B115">
        <v>442</v>
      </c>
      <c r="C115" t="s">
        <v>285</v>
      </c>
      <c r="D115" t="s">
        <v>286</v>
      </c>
      <c r="E115">
        <v>32</v>
      </c>
      <c r="F115">
        <v>118.68</v>
      </c>
      <c r="G115" s="2">
        <v>38499.872997685183</v>
      </c>
      <c r="I115">
        <v>107</v>
      </c>
      <c r="J115">
        <v>168</v>
      </c>
      <c r="K115" t="s">
        <v>173</v>
      </c>
      <c r="L115" t="s">
        <v>174</v>
      </c>
      <c r="M115">
        <v>34</v>
      </c>
      <c r="N115">
        <v>135.66</v>
      </c>
      <c r="O115" s="2">
        <v>38499.872997685183</v>
      </c>
    </row>
    <row r="116" spans="1:15" x14ac:dyDescent="0.25">
      <c r="A116">
        <v>108</v>
      </c>
      <c r="B116">
        <v>254</v>
      </c>
      <c r="C116" t="s">
        <v>265</v>
      </c>
      <c r="D116" t="s">
        <v>266</v>
      </c>
      <c r="E116">
        <v>32</v>
      </c>
      <c r="F116">
        <v>116.68</v>
      </c>
      <c r="G116" s="2">
        <v>38498.209236111114</v>
      </c>
      <c r="I116">
        <v>108</v>
      </c>
      <c r="J116">
        <v>591</v>
      </c>
      <c r="K116" t="s">
        <v>654</v>
      </c>
      <c r="L116" t="s">
        <v>655</v>
      </c>
      <c r="M116">
        <v>27</v>
      </c>
      <c r="N116">
        <v>134.72999999999999</v>
      </c>
      <c r="O116" s="2">
        <v>38498.209236111114</v>
      </c>
    </row>
    <row r="117" spans="1:15" x14ac:dyDescent="0.25">
      <c r="A117">
        <v>109</v>
      </c>
      <c r="B117">
        <v>503</v>
      </c>
      <c r="C117" t="s">
        <v>291</v>
      </c>
      <c r="D117" t="s">
        <v>292</v>
      </c>
      <c r="E117">
        <v>32</v>
      </c>
      <c r="F117">
        <v>115.68</v>
      </c>
      <c r="G117" s="2">
        <v>38497.778009259258</v>
      </c>
      <c r="I117">
        <v>109</v>
      </c>
      <c r="J117">
        <v>307</v>
      </c>
      <c r="K117" t="s">
        <v>391</v>
      </c>
      <c r="L117" t="s">
        <v>213</v>
      </c>
      <c r="M117">
        <v>30</v>
      </c>
      <c r="N117">
        <v>134.69999999999999</v>
      </c>
      <c r="O117" s="2">
        <v>38497.778009259258</v>
      </c>
    </row>
    <row r="118" spans="1:15" x14ac:dyDescent="0.25">
      <c r="A118">
        <v>110</v>
      </c>
      <c r="B118">
        <v>28</v>
      </c>
      <c r="C118" t="s">
        <v>237</v>
      </c>
      <c r="D118" t="s">
        <v>238</v>
      </c>
      <c r="E118">
        <v>32</v>
      </c>
      <c r="F118">
        <v>111.68</v>
      </c>
      <c r="G118" s="2">
        <v>38499.442673611113</v>
      </c>
      <c r="I118">
        <v>110</v>
      </c>
      <c r="J118">
        <v>15</v>
      </c>
      <c r="K118" t="s">
        <v>235</v>
      </c>
      <c r="L118" t="s">
        <v>236</v>
      </c>
      <c r="M118">
        <v>32</v>
      </c>
      <c r="N118">
        <v>134.68</v>
      </c>
      <c r="O118" s="2">
        <v>38499.442673611113</v>
      </c>
    </row>
    <row r="119" spans="1:15" x14ac:dyDescent="0.25">
      <c r="A119">
        <v>111</v>
      </c>
      <c r="B119">
        <v>405</v>
      </c>
      <c r="C119" t="s">
        <v>281</v>
      </c>
      <c r="D119" t="s">
        <v>282</v>
      </c>
      <c r="E119">
        <v>32</v>
      </c>
      <c r="F119">
        <v>109.68</v>
      </c>
      <c r="G119" s="2">
        <v>38497.820474537039</v>
      </c>
      <c r="I119">
        <v>111</v>
      </c>
      <c r="J119">
        <v>89</v>
      </c>
      <c r="K119" t="s">
        <v>241</v>
      </c>
      <c r="L119" t="s">
        <v>242</v>
      </c>
      <c r="M119">
        <v>32</v>
      </c>
      <c r="N119">
        <v>134.68</v>
      </c>
      <c r="O119" s="2">
        <v>38497.820474537039</v>
      </c>
    </row>
    <row r="120" spans="1:15" x14ac:dyDescent="0.25">
      <c r="A120">
        <v>112</v>
      </c>
      <c r="B120">
        <v>452</v>
      </c>
      <c r="C120" t="s">
        <v>287</v>
      </c>
      <c r="D120" t="s">
        <v>288</v>
      </c>
      <c r="E120">
        <v>32</v>
      </c>
      <c r="F120">
        <v>107.68</v>
      </c>
      <c r="G120" s="2">
        <v>38499.258634259262</v>
      </c>
      <c r="I120">
        <v>112</v>
      </c>
      <c r="J120">
        <v>520</v>
      </c>
      <c r="K120" t="s">
        <v>293</v>
      </c>
      <c r="L120" t="s">
        <v>294</v>
      </c>
      <c r="M120">
        <v>32</v>
      </c>
      <c r="N120">
        <v>134.68</v>
      </c>
      <c r="O120" s="2">
        <v>38499.258634259262</v>
      </c>
    </row>
    <row r="121" spans="1:15" x14ac:dyDescent="0.25">
      <c r="A121">
        <v>113</v>
      </c>
      <c r="B121">
        <v>293</v>
      </c>
      <c r="C121" t="s">
        <v>323</v>
      </c>
      <c r="D121" t="s">
        <v>324</v>
      </c>
      <c r="E121">
        <v>31</v>
      </c>
      <c r="F121">
        <v>158.69</v>
      </c>
      <c r="G121" s="2">
        <v>38499.779826388891</v>
      </c>
      <c r="I121">
        <v>113</v>
      </c>
      <c r="J121">
        <v>569</v>
      </c>
      <c r="K121" t="s">
        <v>301</v>
      </c>
      <c r="L121" t="s">
        <v>302</v>
      </c>
      <c r="M121">
        <v>32</v>
      </c>
      <c r="N121">
        <v>134.68</v>
      </c>
      <c r="O121" s="2">
        <v>38499.779826388891</v>
      </c>
    </row>
    <row r="122" spans="1:15" x14ac:dyDescent="0.25">
      <c r="A122">
        <v>114</v>
      </c>
      <c r="B122">
        <v>513</v>
      </c>
      <c r="C122" t="s">
        <v>345</v>
      </c>
      <c r="D122" t="s">
        <v>346</v>
      </c>
      <c r="E122">
        <v>31</v>
      </c>
      <c r="F122">
        <v>148.69</v>
      </c>
      <c r="G122" s="2">
        <v>38502.996053240742</v>
      </c>
      <c r="I122">
        <v>114</v>
      </c>
      <c r="J122">
        <v>438</v>
      </c>
      <c r="K122" t="s">
        <v>222</v>
      </c>
      <c r="L122" t="s">
        <v>223</v>
      </c>
      <c r="M122">
        <v>33</v>
      </c>
      <c r="N122">
        <v>134.66999999999999</v>
      </c>
      <c r="O122" s="2">
        <v>38502.996053240742</v>
      </c>
    </row>
    <row r="123" spans="1:15" x14ac:dyDescent="0.25">
      <c r="A123">
        <v>115</v>
      </c>
      <c r="B123">
        <v>309</v>
      </c>
      <c r="C123" t="s">
        <v>327</v>
      </c>
      <c r="D123" t="s">
        <v>328</v>
      </c>
      <c r="E123">
        <v>31</v>
      </c>
      <c r="F123">
        <v>147.69</v>
      </c>
      <c r="G123" s="2">
        <v>38498.393854166665</v>
      </c>
      <c r="I123">
        <v>115</v>
      </c>
      <c r="J123">
        <v>473</v>
      </c>
      <c r="K123" t="s">
        <v>189</v>
      </c>
      <c r="L123" t="s">
        <v>190</v>
      </c>
      <c r="M123">
        <v>34</v>
      </c>
      <c r="N123">
        <v>134.66</v>
      </c>
      <c r="O123" s="2">
        <v>38498.393854166665</v>
      </c>
    </row>
    <row r="124" spans="1:15" x14ac:dyDescent="0.25">
      <c r="A124">
        <v>116</v>
      </c>
      <c r="B124">
        <v>103</v>
      </c>
      <c r="C124" t="s">
        <v>307</v>
      </c>
      <c r="D124" t="s">
        <v>308</v>
      </c>
      <c r="E124">
        <v>31</v>
      </c>
      <c r="F124">
        <v>146.69</v>
      </c>
      <c r="G124" s="2">
        <v>38498.528043981481</v>
      </c>
      <c r="I124">
        <v>116</v>
      </c>
      <c r="J124">
        <v>433</v>
      </c>
      <c r="K124" t="s">
        <v>818</v>
      </c>
      <c r="L124" t="s">
        <v>819</v>
      </c>
      <c r="M124">
        <v>25</v>
      </c>
      <c r="N124">
        <v>133.75</v>
      </c>
      <c r="O124" s="2">
        <v>38498.528043981481</v>
      </c>
    </row>
    <row r="125" spans="1:15" x14ac:dyDescent="0.25">
      <c r="A125">
        <v>117</v>
      </c>
      <c r="B125">
        <v>479</v>
      </c>
      <c r="C125" t="s">
        <v>341</v>
      </c>
      <c r="D125" t="s">
        <v>342</v>
      </c>
      <c r="E125">
        <v>31</v>
      </c>
      <c r="F125">
        <v>146.69</v>
      </c>
      <c r="G125" s="2">
        <v>38497.907569444447</v>
      </c>
      <c r="I125">
        <v>117</v>
      </c>
      <c r="J125">
        <v>59</v>
      </c>
      <c r="K125" t="s">
        <v>594</v>
      </c>
      <c r="L125" t="s">
        <v>595</v>
      </c>
      <c r="M125">
        <v>27</v>
      </c>
      <c r="N125">
        <v>133.72999999999999</v>
      </c>
      <c r="O125" s="2">
        <v>38497.907569444447</v>
      </c>
    </row>
    <row r="126" spans="1:15" x14ac:dyDescent="0.25">
      <c r="A126">
        <v>118</v>
      </c>
      <c r="B126">
        <v>78</v>
      </c>
      <c r="C126" t="s">
        <v>305</v>
      </c>
      <c r="D126" t="s">
        <v>306</v>
      </c>
      <c r="E126">
        <v>31</v>
      </c>
      <c r="F126">
        <v>141.69</v>
      </c>
      <c r="G126" s="2">
        <v>38521.096770833334</v>
      </c>
      <c r="I126">
        <v>118</v>
      </c>
      <c r="J126">
        <v>92</v>
      </c>
      <c r="K126" t="s">
        <v>518</v>
      </c>
      <c r="L126" t="s">
        <v>519</v>
      </c>
      <c r="M126">
        <v>28</v>
      </c>
      <c r="N126">
        <v>133.72</v>
      </c>
      <c r="O126" s="2">
        <v>38521.096770833334</v>
      </c>
    </row>
    <row r="127" spans="1:15" x14ac:dyDescent="0.25">
      <c r="A127">
        <v>119</v>
      </c>
      <c r="B127">
        <v>494</v>
      </c>
      <c r="C127" t="s">
        <v>343</v>
      </c>
      <c r="D127" t="s">
        <v>344</v>
      </c>
      <c r="E127">
        <v>31</v>
      </c>
      <c r="F127">
        <v>140.69</v>
      </c>
      <c r="G127" s="2">
        <v>38500.627592592595</v>
      </c>
      <c r="I127">
        <v>119</v>
      </c>
      <c r="J127">
        <v>504</v>
      </c>
      <c r="K127" t="s">
        <v>569</v>
      </c>
      <c r="L127" t="s">
        <v>570</v>
      </c>
      <c r="M127">
        <v>28</v>
      </c>
      <c r="N127">
        <v>133.72</v>
      </c>
      <c r="O127" s="2">
        <v>38500.627592592595</v>
      </c>
    </row>
    <row r="128" spans="1:15" x14ac:dyDescent="0.25">
      <c r="A128">
        <v>120</v>
      </c>
      <c r="B128">
        <v>210</v>
      </c>
      <c r="C128" t="s">
        <v>313</v>
      </c>
      <c r="D128" t="s">
        <v>314</v>
      </c>
      <c r="E128">
        <v>31</v>
      </c>
      <c r="F128">
        <v>137.69</v>
      </c>
      <c r="G128" s="2">
        <v>38502.690300925926</v>
      </c>
      <c r="I128">
        <v>120</v>
      </c>
      <c r="J128">
        <v>179</v>
      </c>
      <c r="K128" t="s">
        <v>450</v>
      </c>
      <c r="L128" t="s">
        <v>451</v>
      </c>
      <c r="M128">
        <v>29</v>
      </c>
      <c r="N128">
        <v>133.71</v>
      </c>
      <c r="O128" s="2">
        <v>38502.690300925926</v>
      </c>
    </row>
    <row r="129" spans="1:15" x14ac:dyDescent="0.25">
      <c r="A129">
        <v>121</v>
      </c>
      <c r="B129">
        <v>300</v>
      </c>
      <c r="C129" t="s">
        <v>325</v>
      </c>
      <c r="D129" t="s">
        <v>326</v>
      </c>
      <c r="E129">
        <v>31</v>
      </c>
      <c r="F129">
        <v>137.69</v>
      </c>
      <c r="G129" s="2">
        <v>38499.828113425923</v>
      </c>
      <c r="I129">
        <v>121</v>
      </c>
      <c r="J129">
        <v>265</v>
      </c>
      <c r="K129" t="s">
        <v>456</v>
      </c>
      <c r="L129" t="s">
        <v>452</v>
      </c>
      <c r="M129">
        <v>29</v>
      </c>
      <c r="N129">
        <v>133.71</v>
      </c>
      <c r="O129" s="2">
        <v>38499.828113425923</v>
      </c>
    </row>
    <row r="130" spans="1:15" x14ac:dyDescent="0.25">
      <c r="A130">
        <v>122</v>
      </c>
      <c r="B130">
        <v>279</v>
      </c>
      <c r="C130" t="s">
        <v>321</v>
      </c>
      <c r="D130" t="s">
        <v>322</v>
      </c>
      <c r="E130">
        <v>31</v>
      </c>
      <c r="F130">
        <v>135.69</v>
      </c>
      <c r="G130" s="2">
        <v>38502.900821759256</v>
      </c>
      <c r="I130">
        <v>122</v>
      </c>
      <c r="J130">
        <v>112</v>
      </c>
      <c r="K130" t="s">
        <v>368</v>
      </c>
      <c r="L130" t="s">
        <v>369</v>
      </c>
      <c r="M130">
        <v>30</v>
      </c>
      <c r="N130">
        <v>133.69999999999999</v>
      </c>
      <c r="O130" s="2">
        <v>38502.900821759256</v>
      </c>
    </row>
    <row r="131" spans="1:15" x14ac:dyDescent="0.25">
      <c r="A131">
        <v>123</v>
      </c>
      <c r="B131">
        <v>27</v>
      </c>
      <c r="C131" t="s">
        <v>303</v>
      </c>
      <c r="D131" t="s">
        <v>304</v>
      </c>
      <c r="E131">
        <v>31</v>
      </c>
      <c r="F131">
        <v>126.69</v>
      </c>
      <c r="G131" s="2">
        <v>38501.66878472222</v>
      </c>
      <c r="I131">
        <v>123</v>
      </c>
      <c r="J131">
        <v>221</v>
      </c>
      <c r="K131" t="s">
        <v>532</v>
      </c>
      <c r="L131" t="s">
        <v>533</v>
      </c>
      <c r="M131">
        <v>28</v>
      </c>
      <c r="N131">
        <v>132.72</v>
      </c>
      <c r="O131" s="2">
        <v>38501.66878472222</v>
      </c>
    </row>
    <row r="132" spans="1:15" x14ac:dyDescent="0.25">
      <c r="A132">
        <v>124</v>
      </c>
      <c r="B132">
        <v>260</v>
      </c>
      <c r="C132" t="s">
        <v>319</v>
      </c>
      <c r="D132" t="s">
        <v>320</v>
      </c>
      <c r="E132">
        <v>31</v>
      </c>
      <c r="F132">
        <v>122.69</v>
      </c>
      <c r="G132" s="2">
        <v>38503.593043981484</v>
      </c>
      <c r="I132">
        <v>124</v>
      </c>
      <c r="J132">
        <v>316</v>
      </c>
      <c r="K132" t="s">
        <v>463</v>
      </c>
      <c r="L132" t="s">
        <v>464</v>
      </c>
      <c r="M132">
        <v>29</v>
      </c>
      <c r="N132">
        <v>132.71</v>
      </c>
      <c r="O132" s="2">
        <v>38503.593043981484</v>
      </c>
    </row>
    <row r="133" spans="1:15" x14ac:dyDescent="0.25">
      <c r="A133">
        <v>125</v>
      </c>
      <c r="B133">
        <v>393</v>
      </c>
      <c r="C133" t="s">
        <v>335</v>
      </c>
      <c r="D133" t="s">
        <v>336</v>
      </c>
      <c r="E133">
        <v>31</v>
      </c>
      <c r="F133">
        <v>121.69</v>
      </c>
      <c r="G133" s="2">
        <v>38500.587465277778</v>
      </c>
      <c r="I133">
        <v>125</v>
      </c>
      <c r="J133">
        <v>108</v>
      </c>
      <c r="K133" t="s">
        <v>366</v>
      </c>
      <c r="L133" t="s">
        <v>367</v>
      </c>
      <c r="M133">
        <v>30</v>
      </c>
      <c r="N133">
        <v>132.69999999999999</v>
      </c>
      <c r="O133" s="2">
        <v>38500.587465277778</v>
      </c>
    </row>
    <row r="134" spans="1:15" x14ac:dyDescent="0.25">
      <c r="A134">
        <v>126</v>
      </c>
      <c r="B134">
        <v>416</v>
      </c>
      <c r="C134" t="s">
        <v>337</v>
      </c>
      <c r="D134" t="s">
        <v>338</v>
      </c>
      <c r="E134">
        <v>31</v>
      </c>
      <c r="F134">
        <v>121.69</v>
      </c>
      <c r="G134" s="2">
        <v>38498.613356481481</v>
      </c>
      <c r="I134">
        <v>126</v>
      </c>
      <c r="J134">
        <v>319</v>
      </c>
      <c r="K134" t="s">
        <v>392</v>
      </c>
      <c r="L134" t="s">
        <v>393</v>
      </c>
      <c r="M134">
        <v>30</v>
      </c>
      <c r="N134">
        <v>132.69999999999999</v>
      </c>
      <c r="O134" s="2">
        <v>38498.613356481481</v>
      </c>
    </row>
    <row r="135" spans="1:15" x14ac:dyDescent="0.25">
      <c r="A135">
        <v>127</v>
      </c>
      <c r="B135">
        <v>251</v>
      </c>
      <c r="C135" t="s">
        <v>317</v>
      </c>
      <c r="D135" t="s">
        <v>318</v>
      </c>
      <c r="E135">
        <v>31</v>
      </c>
      <c r="F135">
        <v>120.69</v>
      </c>
      <c r="G135" s="2">
        <v>38498.667233796295</v>
      </c>
      <c r="I135">
        <v>127</v>
      </c>
      <c r="J135">
        <v>560</v>
      </c>
      <c r="K135" t="s">
        <v>426</v>
      </c>
      <c r="L135" t="s">
        <v>427</v>
      </c>
      <c r="M135">
        <v>30</v>
      </c>
      <c r="N135">
        <v>132.69999999999999</v>
      </c>
      <c r="O135" s="2">
        <v>38498.667233796295</v>
      </c>
    </row>
    <row r="136" spans="1:15" x14ac:dyDescent="0.25">
      <c r="A136">
        <v>128</v>
      </c>
      <c r="B136">
        <v>340</v>
      </c>
      <c r="C136" t="s">
        <v>331</v>
      </c>
      <c r="D136" t="s">
        <v>332</v>
      </c>
      <c r="E136">
        <v>31</v>
      </c>
      <c r="F136">
        <v>119.69</v>
      </c>
      <c r="G136" s="2">
        <v>38518.101342592592</v>
      </c>
      <c r="I136">
        <v>128</v>
      </c>
      <c r="J136">
        <v>245</v>
      </c>
      <c r="K136" t="s">
        <v>263</v>
      </c>
      <c r="L136" t="s">
        <v>264</v>
      </c>
      <c r="M136">
        <v>32</v>
      </c>
      <c r="N136">
        <v>132.68</v>
      </c>
      <c r="O136" s="2">
        <v>38518.101342592592</v>
      </c>
    </row>
    <row r="137" spans="1:15" x14ac:dyDescent="0.25">
      <c r="A137">
        <v>129</v>
      </c>
      <c r="B137">
        <v>214</v>
      </c>
      <c r="C137" t="s">
        <v>315</v>
      </c>
      <c r="D137" t="s">
        <v>316</v>
      </c>
      <c r="E137">
        <v>31</v>
      </c>
      <c r="F137">
        <v>116.69</v>
      </c>
      <c r="G137" s="2">
        <v>38498.545231481483</v>
      </c>
      <c r="I137">
        <v>129</v>
      </c>
      <c r="J137">
        <v>13</v>
      </c>
      <c r="K137" t="s">
        <v>584</v>
      </c>
      <c r="L137" t="s">
        <v>585</v>
      </c>
      <c r="M137">
        <v>27</v>
      </c>
      <c r="N137">
        <v>131.72999999999999</v>
      </c>
      <c r="O137" s="2">
        <v>38498.545231481483</v>
      </c>
    </row>
    <row r="138" spans="1:15" x14ac:dyDescent="0.25">
      <c r="A138">
        <v>130</v>
      </c>
      <c r="B138">
        <v>446</v>
      </c>
      <c r="C138" t="s">
        <v>339</v>
      </c>
      <c r="D138" t="s">
        <v>340</v>
      </c>
      <c r="E138">
        <v>31</v>
      </c>
      <c r="F138">
        <v>116.69</v>
      </c>
      <c r="G138" s="2">
        <v>38497.021701388891</v>
      </c>
      <c r="I138">
        <v>130</v>
      </c>
      <c r="J138">
        <v>299</v>
      </c>
      <c r="K138" t="s">
        <v>357</v>
      </c>
      <c r="L138" t="s">
        <v>390</v>
      </c>
      <c r="M138">
        <v>30</v>
      </c>
      <c r="N138">
        <v>131.69999999999999</v>
      </c>
      <c r="O138" s="2">
        <v>38497.021701388891</v>
      </c>
    </row>
    <row r="139" spans="1:15" x14ac:dyDescent="0.25">
      <c r="A139">
        <v>131</v>
      </c>
      <c r="B139">
        <v>186</v>
      </c>
      <c r="C139" t="s">
        <v>311</v>
      </c>
      <c r="D139" t="s">
        <v>312</v>
      </c>
      <c r="E139">
        <v>31</v>
      </c>
      <c r="F139">
        <v>114.69</v>
      </c>
      <c r="G139" s="2">
        <v>38500.472557870373</v>
      </c>
      <c r="I139">
        <v>131</v>
      </c>
      <c r="J139">
        <v>314</v>
      </c>
      <c r="K139" t="s">
        <v>214</v>
      </c>
      <c r="L139" t="s">
        <v>219</v>
      </c>
      <c r="M139">
        <v>33</v>
      </c>
      <c r="N139">
        <v>131.66999999999999</v>
      </c>
      <c r="O139" s="2">
        <v>38500.472557870373</v>
      </c>
    </row>
    <row r="140" spans="1:15" x14ac:dyDescent="0.25">
      <c r="A140">
        <v>132</v>
      </c>
      <c r="B140">
        <v>323</v>
      </c>
      <c r="C140" t="s">
        <v>329</v>
      </c>
      <c r="D140" t="s">
        <v>330</v>
      </c>
      <c r="E140">
        <v>31</v>
      </c>
      <c r="F140">
        <v>114.69</v>
      </c>
      <c r="G140" s="2">
        <v>38497.370300925926</v>
      </c>
      <c r="I140">
        <v>132</v>
      </c>
      <c r="J140">
        <v>82</v>
      </c>
      <c r="K140" t="s">
        <v>664</v>
      </c>
      <c r="L140" t="s">
        <v>665</v>
      </c>
      <c r="M140">
        <v>26</v>
      </c>
      <c r="N140">
        <v>130.74</v>
      </c>
      <c r="O140" s="2">
        <v>38497.370300925926</v>
      </c>
    </row>
    <row r="141" spans="1:15" x14ac:dyDescent="0.25">
      <c r="A141">
        <v>133</v>
      </c>
      <c r="B141">
        <v>157</v>
      </c>
      <c r="C141" t="s">
        <v>309</v>
      </c>
      <c r="D141" t="s">
        <v>310</v>
      </c>
      <c r="E141">
        <v>31</v>
      </c>
      <c r="F141">
        <v>113.69</v>
      </c>
      <c r="G141" s="2">
        <v>38499.241886574076</v>
      </c>
      <c r="I141">
        <v>133</v>
      </c>
      <c r="J141">
        <v>594</v>
      </c>
      <c r="K141" t="s">
        <v>656</v>
      </c>
      <c r="L141" t="s">
        <v>657</v>
      </c>
      <c r="M141">
        <v>27</v>
      </c>
      <c r="N141">
        <v>130.72999999999999</v>
      </c>
      <c r="O141" s="2">
        <v>38499.241886574076</v>
      </c>
    </row>
    <row r="142" spans="1:15" x14ac:dyDescent="0.25">
      <c r="A142">
        <v>134</v>
      </c>
      <c r="B142">
        <v>361</v>
      </c>
      <c r="C142" t="s">
        <v>333</v>
      </c>
      <c r="D142" t="s">
        <v>334</v>
      </c>
      <c r="E142">
        <v>31</v>
      </c>
      <c r="F142">
        <v>100.69</v>
      </c>
      <c r="G142" s="2">
        <v>38499.321168981478</v>
      </c>
      <c r="I142">
        <v>134</v>
      </c>
      <c r="J142">
        <v>49</v>
      </c>
      <c r="K142" t="s">
        <v>510</v>
      </c>
      <c r="L142" t="s">
        <v>511</v>
      </c>
      <c r="M142">
        <v>28</v>
      </c>
      <c r="N142">
        <v>130.72</v>
      </c>
      <c r="O142" s="2">
        <v>38499.321168981478</v>
      </c>
    </row>
    <row r="143" spans="1:15" x14ac:dyDescent="0.25">
      <c r="A143">
        <v>135</v>
      </c>
      <c r="B143">
        <v>72</v>
      </c>
      <c r="C143" t="s">
        <v>358</v>
      </c>
      <c r="D143" t="s">
        <v>359</v>
      </c>
      <c r="E143">
        <v>30</v>
      </c>
      <c r="F143">
        <v>99.7</v>
      </c>
      <c r="G143" s="2">
        <v>38501.631030092591</v>
      </c>
      <c r="I143">
        <v>135</v>
      </c>
      <c r="J143">
        <v>154</v>
      </c>
      <c r="K143" t="s">
        <v>376</v>
      </c>
      <c r="L143" t="s">
        <v>377</v>
      </c>
      <c r="M143">
        <v>30</v>
      </c>
      <c r="N143">
        <v>130.69999999999999</v>
      </c>
      <c r="O143" s="2">
        <v>38501.631030092591</v>
      </c>
    </row>
    <row r="144" spans="1:15" x14ac:dyDescent="0.25">
      <c r="A144">
        <v>136</v>
      </c>
      <c r="B144">
        <v>115</v>
      </c>
      <c r="C144" t="s">
        <v>370</v>
      </c>
      <c r="D144" t="s">
        <v>371</v>
      </c>
      <c r="E144">
        <v>30</v>
      </c>
      <c r="F144">
        <v>91.7</v>
      </c>
      <c r="G144" s="2">
        <v>38502.472534722219</v>
      </c>
      <c r="I144">
        <v>136</v>
      </c>
      <c r="J144">
        <v>141</v>
      </c>
      <c r="K144" t="s">
        <v>251</v>
      </c>
      <c r="L144" t="s">
        <v>252</v>
      </c>
      <c r="M144">
        <v>32</v>
      </c>
      <c r="N144">
        <v>130.68</v>
      </c>
      <c r="O144" s="2">
        <v>38502.472534722219</v>
      </c>
    </row>
    <row r="145" spans="1:15" x14ac:dyDescent="0.25">
      <c r="A145">
        <v>137</v>
      </c>
      <c r="B145">
        <v>87</v>
      </c>
      <c r="C145" t="s">
        <v>362</v>
      </c>
      <c r="D145" t="s">
        <v>363</v>
      </c>
      <c r="E145">
        <v>30</v>
      </c>
      <c r="F145">
        <v>145.69999999999999</v>
      </c>
      <c r="G145" s="2">
        <v>38499.811041666668</v>
      </c>
      <c r="I145">
        <v>137</v>
      </c>
      <c r="J145">
        <v>342</v>
      </c>
      <c r="K145" t="s">
        <v>275</v>
      </c>
      <c r="L145" t="s">
        <v>276</v>
      </c>
      <c r="M145">
        <v>32</v>
      </c>
      <c r="N145">
        <v>130.68</v>
      </c>
      <c r="O145" s="2">
        <v>38499.811041666668</v>
      </c>
    </row>
    <row r="146" spans="1:15" x14ac:dyDescent="0.25">
      <c r="A146">
        <v>138</v>
      </c>
      <c r="B146">
        <v>436</v>
      </c>
      <c r="C146" t="s">
        <v>416</v>
      </c>
      <c r="D146" t="s">
        <v>417</v>
      </c>
      <c r="E146">
        <v>30</v>
      </c>
      <c r="F146">
        <v>144.69999999999999</v>
      </c>
      <c r="G146" s="2">
        <v>38497.249756944446</v>
      </c>
      <c r="I146">
        <v>138</v>
      </c>
      <c r="J146">
        <v>497</v>
      </c>
      <c r="K146" t="s">
        <v>216</v>
      </c>
      <c r="L146" t="s">
        <v>566</v>
      </c>
      <c r="M146">
        <v>28</v>
      </c>
      <c r="N146">
        <v>129.72</v>
      </c>
      <c r="O146" s="2">
        <v>38497.249756944446</v>
      </c>
    </row>
    <row r="147" spans="1:15" x14ac:dyDescent="0.25">
      <c r="A147">
        <v>139</v>
      </c>
      <c r="B147">
        <v>289</v>
      </c>
      <c r="C147" t="s">
        <v>386</v>
      </c>
      <c r="D147" t="s">
        <v>387</v>
      </c>
      <c r="E147">
        <v>30</v>
      </c>
      <c r="F147">
        <v>142.69999999999999</v>
      </c>
      <c r="G147" s="2">
        <v>38520.131238425929</v>
      </c>
      <c r="I147">
        <v>139</v>
      </c>
      <c r="J147">
        <v>589</v>
      </c>
      <c r="K147" t="s">
        <v>366</v>
      </c>
      <c r="L147" t="s">
        <v>579</v>
      </c>
      <c r="M147">
        <v>28</v>
      </c>
      <c r="N147">
        <v>129.72</v>
      </c>
      <c r="O147" s="2">
        <v>38520.131238425929</v>
      </c>
    </row>
    <row r="148" spans="1:15" x14ac:dyDescent="0.25">
      <c r="A148">
        <v>140</v>
      </c>
      <c r="B148">
        <v>347</v>
      </c>
      <c r="C148" t="s">
        <v>400</v>
      </c>
      <c r="D148" t="s">
        <v>401</v>
      </c>
      <c r="E148">
        <v>30</v>
      </c>
      <c r="F148">
        <v>142.69999999999999</v>
      </c>
      <c r="G148" s="2">
        <v>38519.591574074075</v>
      </c>
      <c r="I148">
        <v>140</v>
      </c>
      <c r="J148">
        <v>71</v>
      </c>
      <c r="K148" t="s">
        <v>356</v>
      </c>
      <c r="L148" t="s">
        <v>357</v>
      </c>
      <c r="M148">
        <v>30</v>
      </c>
      <c r="N148">
        <v>129.69999999999999</v>
      </c>
      <c r="O148" s="2">
        <v>38519.591574074075</v>
      </c>
    </row>
    <row r="149" spans="1:15" x14ac:dyDescent="0.25">
      <c r="A149">
        <v>141</v>
      </c>
      <c r="B149">
        <v>472</v>
      </c>
      <c r="C149" t="s">
        <v>420</v>
      </c>
      <c r="D149" t="s">
        <v>421</v>
      </c>
      <c r="E149">
        <v>30</v>
      </c>
      <c r="F149">
        <v>141.69999999999999</v>
      </c>
      <c r="G149" s="2">
        <v>38497.988738425927</v>
      </c>
      <c r="I149">
        <v>141</v>
      </c>
      <c r="J149">
        <v>269</v>
      </c>
      <c r="K149" t="s">
        <v>382</v>
      </c>
      <c r="L149" t="s">
        <v>383</v>
      </c>
      <c r="M149">
        <v>30</v>
      </c>
      <c r="N149">
        <v>129.69999999999999</v>
      </c>
      <c r="O149" s="2">
        <v>38497.988738425927</v>
      </c>
    </row>
    <row r="150" spans="1:15" x14ac:dyDescent="0.25">
      <c r="A150">
        <v>142</v>
      </c>
      <c r="B150">
        <v>404</v>
      </c>
      <c r="C150" t="s">
        <v>408</v>
      </c>
      <c r="D150" t="s">
        <v>409</v>
      </c>
      <c r="E150">
        <v>30</v>
      </c>
      <c r="F150">
        <v>139.69999999999999</v>
      </c>
      <c r="G150" s="2">
        <v>38503.455925925926</v>
      </c>
      <c r="I150">
        <v>142</v>
      </c>
      <c r="J150">
        <v>296</v>
      </c>
      <c r="K150" t="s">
        <v>388</v>
      </c>
      <c r="L150" t="s">
        <v>389</v>
      </c>
      <c r="M150">
        <v>30</v>
      </c>
      <c r="N150">
        <v>129.69999999999999</v>
      </c>
      <c r="O150" s="2">
        <v>38503.455925925926</v>
      </c>
    </row>
    <row r="151" spans="1:15" x14ac:dyDescent="0.25">
      <c r="A151">
        <v>143</v>
      </c>
      <c r="B151">
        <v>484</v>
      </c>
      <c r="C151" t="s">
        <v>422</v>
      </c>
      <c r="D151" t="s">
        <v>423</v>
      </c>
      <c r="E151">
        <v>30</v>
      </c>
      <c r="F151">
        <v>139.69999999999999</v>
      </c>
      <c r="G151" s="2">
        <v>38497.183749999997</v>
      </c>
      <c r="I151">
        <v>143</v>
      </c>
      <c r="J151">
        <v>584</v>
      </c>
      <c r="K151" t="s">
        <v>428</v>
      </c>
      <c r="L151" t="s">
        <v>429</v>
      </c>
      <c r="M151">
        <v>30</v>
      </c>
      <c r="N151">
        <v>129.69999999999999</v>
      </c>
      <c r="O151" s="2">
        <v>38497.183749999997</v>
      </c>
    </row>
    <row r="152" spans="1:15" x14ac:dyDescent="0.25">
      <c r="A152">
        <v>144</v>
      </c>
      <c r="B152">
        <v>80</v>
      </c>
      <c r="C152" t="s">
        <v>360</v>
      </c>
      <c r="D152" t="s">
        <v>361</v>
      </c>
      <c r="E152">
        <v>30</v>
      </c>
      <c r="F152">
        <v>137.69999999999999</v>
      </c>
      <c r="G152" s="2">
        <v>38522.241967592592</v>
      </c>
      <c r="I152">
        <v>144</v>
      </c>
      <c r="J152">
        <v>35</v>
      </c>
      <c r="K152" t="s">
        <v>239</v>
      </c>
      <c r="L152" t="s">
        <v>240</v>
      </c>
      <c r="M152">
        <v>32</v>
      </c>
      <c r="N152">
        <v>129.68</v>
      </c>
      <c r="O152" s="2">
        <v>38522.241967592592</v>
      </c>
    </row>
    <row r="153" spans="1:15" x14ac:dyDescent="0.25">
      <c r="A153">
        <v>145</v>
      </c>
      <c r="B153">
        <v>56</v>
      </c>
      <c r="C153" t="s">
        <v>354</v>
      </c>
      <c r="D153" t="s">
        <v>355</v>
      </c>
      <c r="E153">
        <v>30</v>
      </c>
      <c r="F153">
        <v>135.69999999999999</v>
      </c>
      <c r="G153" s="2">
        <v>38497.890231481484</v>
      </c>
      <c r="I153">
        <v>145</v>
      </c>
      <c r="J153">
        <v>244</v>
      </c>
      <c r="K153" t="s">
        <v>261</v>
      </c>
      <c r="L153" t="s">
        <v>262</v>
      </c>
      <c r="M153">
        <v>32</v>
      </c>
      <c r="N153">
        <v>129.68</v>
      </c>
      <c r="O153" s="2">
        <v>38497.890231481484</v>
      </c>
    </row>
    <row r="154" spans="1:15" x14ac:dyDescent="0.25">
      <c r="A154">
        <v>146</v>
      </c>
      <c r="B154">
        <v>334</v>
      </c>
      <c r="C154" t="s">
        <v>394</v>
      </c>
      <c r="D154" t="s">
        <v>395</v>
      </c>
      <c r="E154">
        <v>30</v>
      </c>
      <c r="F154">
        <v>135.69999999999999</v>
      </c>
      <c r="G154" s="2">
        <v>38497.015914351854</v>
      </c>
      <c r="I154">
        <v>146</v>
      </c>
      <c r="J154">
        <v>354</v>
      </c>
      <c r="K154" t="s">
        <v>103</v>
      </c>
      <c r="L154" t="s">
        <v>104</v>
      </c>
      <c r="M154">
        <v>36</v>
      </c>
      <c r="N154">
        <v>129.63999999999999</v>
      </c>
      <c r="O154" s="2">
        <v>38497.015914351854</v>
      </c>
    </row>
    <row r="155" spans="1:15" x14ac:dyDescent="0.25">
      <c r="A155">
        <v>147</v>
      </c>
      <c r="B155">
        <v>307</v>
      </c>
      <c r="C155" t="s">
        <v>391</v>
      </c>
      <c r="D155" t="s">
        <v>213</v>
      </c>
      <c r="E155">
        <v>30</v>
      </c>
      <c r="F155">
        <v>134.69999999999999</v>
      </c>
      <c r="G155" s="2">
        <v>38499.615011574075</v>
      </c>
      <c r="I155">
        <v>147</v>
      </c>
      <c r="J155">
        <v>2</v>
      </c>
      <c r="K155" t="s">
        <v>582</v>
      </c>
      <c r="L155" t="s">
        <v>583</v>
      </c>
      <c r="M155">
        <v>27</v>
      </c>
      <c r="N155">
        <v>128.72999999999999</v>
      </c>
      <c r="O155" s="2">
        <v>38499.615011574075</v>
      </c>
    </row>
    <row r="156" spans="1:15" x14ac:dyDescent="0.25">
      <c r="A156">
        <v>148</v>
      </c>
      <c r="B156">
        <v>112</v>
      </c>
      <c r="C156" t="s">
        <v>368</v>
      </c>
      <c r="D156" t="s">
        <v>369</v>
      </c>
      <c r="E156">
        <v>30</v>
      </c>
      <c r="F156">
        <v>133.69999999999999</v>
      </c>
      <c r="G156" s="2">
        <v>38499.491018518522</v>
      </c>
      <c r="I156">
        <v>148</v>
      </c>
      <c r="J156">
        <v>434</v>
      </c>
      <c r="K156" t="s">
        <v>638</v>
      </c>
      <c r="L156" t="s">
        <v>639</v>
      </c>
      <c r="M156">
        <v>27</v>
      </c>
      <c r="N156">
        <v>128.72999999999999</v>
      </c>
      <c r="O156" s="2">
        <v>38499.491018518522</v>
      </c>
    </row>
    <row r="157" spans="1:15" x14ac:dyDescent="0.25">
      <c r="A157">
        <v>149</v>
      </c>
      <c r="B157">
        <v>108</v>
      </c>
      <c r="C157" t="s">
        <v>366</v>
      </c>
      <c r="D157" t="s">
        <v>367</v>
      </c>
      <c r="E157">
        <v>30</v>
      </c>
      <c r="F157">
        <v>132.69999999999999</v>
      </c>
      <c r="G157" s="2">
        <v>38497.745972222219</v>
      </c>
      <c r="I157">
        <v>149</v>
      </c>
      <c r="J157">
        <v>322</v>
      </c>
      <c r="K157" t="s">
        <v>548</v>
      </c>
      <c r="L157" t="s">
        <v>549</v>
      </c>
      <c r="M157">
        <v>28</v>
      </c>
      <c r="N157">
        <v>128.72</v>
      </c>
      <c r="O157" s="2">
        <v>38497.745972222219</v>
      </c>
    </row>
    <row r="158" spans="1:15" x14ac:dyDescent="0.25">
      <c r="A158">
        <v>150</v>
      </c>
      <c r="B158">
        <v>319</v>
      </c>
      <c r="C158" t="s">
        <v>392</v>
      </c>
      <c r="D158" t="s">
        <v>393</v>
      </c>
      <c r="E158">
        <v>30</v>
      </c>
      <c r="F158">
        <v>132.69999999999999</v>
      </c>
      <c r="G158" s="2">
        <v>38497.027337962965</v>
      </c>
      <c r="I158">
        <v>150</v>
      </c>
      <c r="J158">
        <v>54</v>
      </c>
      <c r="K158" t="s">
        <v>440</v>
      </c>
      <c r="L158" t="s">
        <v>441</v>
      </c>
      <c r="M158">
        <v>29</v>
      </c>
      <c r="N158">
        <v>128.71</v>
      </c>
      <c r="O158" s="2">
        <v>38497.027337962965</v>
      </c>
    </row>
    <row r="159" spans="1:15" x14ac:dyDescent="0.25">
      <c r="A159">
        <v>151</v>
      </c>
      <c r="B159">
        <v>560</v>
      </c>
      <c r="C159" t="s">
        <v>426</v>
      </c>
      <c r="D159" t="s">
        <v>427</v>
      </c>
      <c r="E159">
        <v>30</v>
      </c>
      <c r="F159">
        <v>132.69999999999999</v>
      </c>
      <c r="G159" s="2">
        <v>38497.934236111112</v>
      </c>
      <c r="I159">
        <v>151</v>
      </c>
      <c r="J159">
        <v>131</v>
      </c>
      <c r="K159" t="s">
        <v>372</v>
      </c>
      <c r="L159" t="s">
        <v>373</v>
      </c>
      <c r="M159">
        <v>30</v>
      </c>
      <c r="N159">
        <v>128.69999999999999</v>
      </c>
      <c r="O159" s="2">
        <v>38497.934236111112</v>
      </c>
    </row>
    <row r="160" spans="1:15" x14ac:dyDescent="0.25">
      <c r="A160">
        <v>152</v>
      </c>
      <c r="B160">
        <v>299</v>
      </c>
      <c r="C160" t="s">
        <v>357</v>
      </c>
      <c r="D160" t="s">
        <v>390</v>
      </c>
      <c r="E160">
        <v>30</v>
      </c>
      <c r="F160">
        <v>131.69999999999999</v>
      </c>
      <c r="G160" s="2">
        <v>38499.102199074077</v>
      </c>
      <c r="I160">
        <v>152</v>
      </c>
      <c r="J160">
        <v>297</v>
      </c>
      <c r="K160" t="s">
        <v>217</v>
      </c>
      <c r="L160" t="s">
        <v>218</v>
      </c>
      <c r="M160">
        <v>33</v>
      </c>
      <c r="N160">
        <v>128.66999999999999</v>
      </c>
      <c r="O160" s="2">
        <v>38499.102199074077</v>
      </c>
    </row>
    <row r="161" spans="1:15" x14ac:dyDescent="0.25">
      <c r="A161">
        <v>153</v>
      </c>
      <c r="B161">
        <v>154</v>
      </c>
      <c r="C161" t="s">
        <v>376</v>
      </c>
      <c r="D161" t="s">
        <v>377</v>
      </c>
      <c r="E161">
        <v>30</v>
      </c>
      <c r="F161">
        <v>130.69999999999999</v>
      </c>
      <c r="G161" s="2">
        <v>38499.885023148148</v>
      </c>
      <c r="I161">
        <v>153</v>
      </c>
      <c r="J161">
        <v>451</v>
      </c>
      <c r="K161" t="s">
        <v>224</v>
      </c>
      <c r="L161" t="s">
        <v>225</v>
      </c>
      <c r="M161">
        <v>33</v>
      </c>
      <c r="N161">
        <v>128.66999999999999</v>
      </c>
      <c r="O161" s="2">
        <v>38499.885023148148</v>
      </c>
    </row>
    <row r="162" spans="1:15" x14ac:dyDescent="0.25">
      <c r="A162">
        <v>154</v>
      </c>
      <c r="B162">
        <v>71</v>
      </c>
      <c r="C162" t="s">
        <v>356</v>
      </c>
      <c r="D162" t="s">
        <v>357</v>
      </c>
      <c r="E162">
        <v>30</v>
      </c>
      <c r="F162">
        <v>129.69999999999999</v>
      </c>
      <c r="G162" s="2">
        <v>38498.299976851849</v>
      </c>
      <c r="I162">
        <v>154</v>
      </c>
      <c r="J162">
        <v>508</v>
      </c>
      <c r="K162" t="s">
        <v>830</v>
      </c>
      <c r="L162" t="s">
        <v>831</v>
      </c>
      <c r="M162">
        <v>25</v>
      </c>
      <c r="N162">
        <v>127.75</v>
      </c>
      <c r="O162" s="2">
        <v>38498.299976851849</v>
      </c>
    </row>
    <row r="163" spans="1:15" x14ac:dyDescent="0.25">
      <c r="A163">
        <v>155</v>
      </c>
      <c r="B163">
        <v>269</v>
      </c>
      <c r="C163" t="s">
        <v>382</v>
      </c>
      <c r="D163" t="s">
        <v>383</v>
      </c>
      <c r="E163">
        <v>30</v>
      </c>
      <c r="F163">
        <v>129.69999999999999</v>
      </c>
      <c r="G163" s="2">
        <v>38496.966585648152</v>
      </c>
      <c r="I163">
        <v>155</v>
      </c>
      <c r="J163">
        <v>45</v>
      </c>
      <c r="K163" t="s">
        <v>590</v>
      </c>
      <c r="L163" t="s">
        <v>591</v>
      </c>
      <c r="M163">
        <v>27</v>
      </c>
      <c r="N163">
        <v>127.73</v>
      </c>
      <c r="O163" s="2">
        <v>38496.966585648152</v>
      </c>
    </row>
    <row r="164" spans="1:15" x14ac:dyDescent="0.25">
      <c r="A164">
        <v>156</v>
      </c>
      <c r="B164">
        <v>296</v>
      </c>
      <c r="C164" t="s">
        <v>388</v>
      </c>
      <c r="D164" t="s">
        <v>389</v>
      </c>
      <c r="E164">
        <v>30</v>
      </c>
      <c r="F164">
        <v>129.69999999999999</v>
      </c>
      <c r="G164" s="2">
        <v>38498.084780092591</v>
      </c>
      <c r="I164">
        <v>156</v>
      </c>
      <c r="J164">
        <v>32</v>
      </c>
      <c r="K164" t="s">
        <v>434</v>
      </c>
      <c r="L164" t="s">
        <v>435</v>
      </c>
      <c r="M164">
        <v>29</v>
      </c>
      <c r="N164">
        <v>127.71</v>
      </c>
      <c r="O164" s="2">
        <v>38498.084780092591</v>
      </c>
    </row>
    <row r="165" spans="1:15" x14ac:dyDescent="0.25">
      <c r="A165">
        <v>157</v>
      </c>
      <c r="B165">
        <v>584</v>
      </c>
      <c r="C165" t="s">
        <v>428</v>
      </c>
      <c r="D165" t="s">
        <v>429</v>
      </c>
      <c r="E165">
        <v>30</v>
      </c>
      <c r="F165">
        <v>129.69999999999999</v>
      </c>
      <c r="G165" s="2">
        <v>38499.392731481479</v>
      </c>
      <c r="I165">
        <v>157</v>
      </c>
      <c r="J165">
        <v>253</v>
      </c>
      <c r="K165" t="s">
        <v>452</v>
      </c>
      <c r="L165" t="s">
        <v>453</v>
      </c>
      <c r="M165">
        <v>29</v>
      </c>
      <c r="N165">
        <v>127.71</v>
      </c>
      <c r="O165" s="2">
        <v>38499.392731481479</v>
      </c>
    </row>
    <row r="166" spans="1:15" x14ac:dyDescent="0.25">
      <c r="A166">
        <v>158</v>
      </c>
      <c r="B166">
        <v>131</v>
      </c>
      <c r="C166" t="s">
        <v>372</v>
      </c>
      <c r="D166" t="s">
        <v>373</v>
      </c>
      <c r="E166">
        <v>30</v>
      </c>
      <c r="F166">
        <v>128.69999999999999</v>
      </c>
      <c r="G166" s="2">
        <v>38497.351539351854</v>
      </c>
      <c r="I166">
        <v>158</v>
      </c>
      <c r="J166">
        <v>302</v>
      </c>
      <c r="K166" t="s">
        <v>461</v>
      </c>
      <c r="L166" t="s">
        <v>462</v>
      </c>
      <c r="M166">
        <v>29</v>
      </c>
      <c r="N166">
        <v>127.71</v>
      </c>
      <c r="O166" s="2">
        <v>38497.351539351854</v>
      </c>
    </row>
    <row r="167" spans="1:15" x14ac:dyDescent="0.25">
      <c r="A167">
        <v>159</v>
      </c>
      <c r="B167">
        <v>339</v>
      </c>
      <c r="C167" t="s">
        <v>398</v>
      </c>
      <c r="D167" t="s">
        <v>399</v>
      </c>
      <c r="E167">
        <v>30</v>
      </c>
      <c r="F167">
        <v>127.7</v>
      </c>
      <c r="G167" s="2">
        <v>38502.237060185187</v>
      </c>
      <c r="I167">
        <v>159</v>
      </c>
      <c r="J167">
        <v>339</v>
      </c>
      <c r="K167" t="s">
        <v>398</v>
      </c>
      <c r="L167" t="s">
        <v>399</v>
      </c>
      <c r="M167">
        <v>30</v>
      </c>
      <c r="N167">
        <v>127.7</v>
      </c>
      <c r="O167" s="2">
        <v>38502.237060185187</v>
      </c>
    </row>
    <row r="168" spans="1:15" x14ac:dyDescent="0.25">
      <c r="A168">
        <v>160</v>
      </c>
      <c r="B168">
        <v>107</v>
      </c>
      <c r="C168" t="s">
        <v>364</v>
      </c>
      <c r="D168" t="s">
        <v>365</v>
      </c>
      <c r="E168">
        <v>30</v>
      </c>
      <c r="F168">
        <v>126.7</v>
      </c>
      <c r="G168" s="2">
        <v>38498.132777777777</v>
      </c>
      <c r="I168">
        <v>160</v>
      </c>
      <c r="J168">
        <v>128</v>
      </c>
      <c r="K168" t="s">
        <v>249</v>
      </c>
      <c r="L168" t="s">
        <v>250</v>
      </c>
      <c r="M168">
        <v>32</v>
      </c>
      <c r="N168">
        <v>127.68</v>
      </c>
      <c r="O168" s="2">
        <v>38498.132777777777</v>
      </c>
    </row>
    <row r="169" spans="1:15" x14ac:dyDescent="0.25">
      <c r="A169">
        <v>161</v>
      </c>
      <c r="B169">
        <v>388</v>
      </c>
      <c r="C169" t="s">
        <v>404</v>
      </c>
      <c r="D169" t="s">
        <v>405</v>
      </c>
      <c r="E169">
        <v>30</v>
      </c>
      <c r="F169">
        <v>124.7</v>
      </c>
      <c r="G169" s="2">
        <v>38497.083171296297</v>
      </c>
      <c r="I169">
        <v>161</v>
      </c>
      <c r="J169">
        <v>329</v>
      </c>
      <c r="K169" t="s">
        <v>273</v>
      </c>
      <c r="L169" t="s">
        <v>274</v>
      </c>
      <c r="M169">
        <v>32</v>
      </c>
      <c r="N169">
        <v>127.68</v>
      </c>
      <c r="O169" s="2">
        <v>38497.083171296297</v>
      </c>
    </row>
    <row r="170" spans="1:15" x14ac:dyDescent="0.25">
      <c r="A170">
        <v>162</v>
      </c>
      <c r="B170">
        <v>499</v>
      </c>
      <c r="C170" t="s">
        <v>424</v>
      </c>
      <c r="D170" t="s">
        <v>425</v>
      </c>
      <c r="E170">
        <v>30</v>
      </c>
      <c r="F170">
        <v>123.7</v>
      </c>
      <c r="G170" s="2">
        <v>38497.603113425925</v>
      </c>
      <c r="I170">
        <v>162</v>
      </c>
      <c r="J170">
        <v>38</v>
      </c>
      <c r="K170" t="s">
        <v>157</v>
      </c>
      <c r="L170" t="s">
        <v>158</v>
      </c>
      <c r="M170">
        <v>34</v>
      </c>
      <c r="N170">
        <v>127.66</v>
      </c>
      <c r="O170" s="2">
        <v>38497.603113425925</v>
      </c>
    </row>
    <row r="171" spans="1:15" x14ac:dyDescent="0.25">
      <c r="A171">
        <v>163</v>
      </c>
      <c r="B171">
        <v>356</v>
      </c>
      <c r="C171" t="s">
        <v>402</v>
      </c>
      <c r="D171" t="s">
        <v>403</v>
      </c>
      <c r="E171">
        <v>30</v>
      </c>
      <c r="F171">
        <v>121.7</v>
      </c>
      <c r="G171" s="2">
        <v>38503.482789351852</v>
      </c>
      <c r="I171">
        <v>163</v>
      </c>
      <c r="J171">
        <v>147</v>
      </c>
      <c r="K171" t="s">
        <v>171</v>
      </c>
      <c r="L171" t="s">
        <v>172</v>
      </c>
      <c r="M171">
        <v>34</v>
      </c>
      <c r="N171">
        <v>127.66</v>
      </c>
      <c r="O171" s="2">
        <v>38503.482789351852</v>
      </c>
    </row>
    <row r="172" spans="1:15" x14ac:dyDescent="0.25">
      <c r="A172">
        <v>164</v>
      </c>
      <c r="B172">
        <v>23</v>
      </c>
      <c r="C172" t="s">
        <v>349</v>
      </c>
      <c r="D172" t="s">
        <v>350</v>
      </c>
      <c r="E172">
        <v>30</v>
      </c>
      <c r="F172">
        <v>119.7</v>
      </c>
      <c r="G172" s="2">
        <v>38497.888923611114</v>
      </c>
      <c r="I172">
        <v>164</v>
      </c>
      <c r="J172">
        <v>206</v>
      </c>
      <c r="K172" t="s">
        <v>613</v>
      </c>
      <c r="L172" t="s">
        <v>614</v>
      </c>
      <c r="M172">
        <v>27</v>
      </c>
      <c r="N172">
        <v>126.73</v>
      </c>
      <c r="O172" s="2">
        <v>38497.888923611114</v>
      </c>
    </row>
    <row r="173" spans="1:15" x14ac:dyDescent="0.25">
      <c r="A173">
        <v>165</v>
      </c>
      <c r="B173">
        <v>336</v>
      </c>
      <c r="C173" t="s">
        <v>396</v>
      </c>
      <c r="D173" t="s">
        <v>397</v>
      </c>
      <c r="E173">
        <v>30</v>
      </c>
      <c r="F173">
        <v>119.7</v>
      </c>
      <c r="G173" s="2">
        <v>38518.883483796293</v>
      </c>
      <c r="I173">
        <v>165</v>
      </c>
      <c r="J173">
        <v>426</v>
      </c>
      <c r="K173" t="s">
        <v>176</v>
      </c>
      <c r="L173" t="s">
        <v>637</v>
      </c>
      <c r="M173">
        <v>27</v>
      </c>
      <c r="N173">
        <v>126.73</v>
      </c>
      <c r="O173" s="2">
        <v>38518.883483796293</v>
      </c>
    </row>
    <row r="174" spans="1:15" x14ac:dyDescent="0.25">
      <c r="A174">
        <v>166</v>
      </c>
      <c r="B174">
        <v>42</v>
      </c>
      <c r="C174" t="s">
        <v>351</v>
      </c>
      <c r="D174" t="s">
        <v>352</v>
      </c>
      <c r="E174">
        <v>30</v>
      </c>
      <c r="F174">
        <v>117.7</v>
      </c>
      <c r="G174" s="2">
        <v>38500.740937499999</v>
      </c>
      <c r="I174">
        <v>166</v>
      </c>
      <c r="J174">
        <v>284</v>
      </c>
      <c r="K174" t="s">
        <v>542</v>
      </c>
      <c r="L174" t="s">
        <v>543</v>
      </c>
      <c r="M174">
        <v>28</v>
      </c>
      <c r="N174">
        <v>126.72</v>
      </c>
      <c r="O174" s="2">
        <v>38500.740937499999</v>
      </c>
    </row>
    <row r="175" spans="1:15" x14ac:dyDescent="0.25">
      <c r="A175">
        <v>167</v>
      </c>
      <c r="B175">
        <v>595</v>
      </c>
      <c r="C175" t="s">
        <v>430</v>
      </c>
      <c r="D175" t="s">
        <v>431</v>
      </c>
      <c r="E175">
        <v>30</v>
      </c>
      <c r="F175">
        <v>117.7</v>
      </c>
      <c r="G175" s="2">
        <v>38500.644004629627</v>
      </c>
      <c r="I175">
        <v>167</v>
      </c>
      <c r="J175">
        <v>515</v>
      </c>
      <c r="K175" t="s">
        <v>571</v>
      </c>
      <c r="L175" t="s">
        <v>572</v>
      </c>
      <c r="M175">
        <v>28</v>
      </c>
      <c r="N175">
        <v>126.72</v>
      </c>
      <c r="O175" s="2">
        <v>38500.644004629627</v>
      </c>
    </row>
    <row r="176" spans="1:15" x14ac:dyDescent="0.25">
      <c r="A176">
        <v>168</v>
      </c>
      <c r="B176">
        <v>408</v>
      </c>
      <c r="C176" t="s">
        <v>410</v>
      </c>
      <c r="D176" t="s">
        <v>411</v>
      </c>
      <c r="E176">
        <v>30</v>
      </c>
      <c r="F176">
        <v>116.7</v>
      </c>
      <c r="G176" s="2">
        <v>38496.960868055554</v>
      </c>
      <c r="I176">
        <v>168</v>
      </c>
      <c r="J176">
        <v>565</v>
      </c>
      <c r="K176" t="s">
        <v>493</v>
      </c>
      <c r="L176" t="s">
        <v>494</v>
      </c>
      <c r="M176">
        <v>29</v>
      </c>
      <c r="N176">
        <v>126.71</v>
      </c>
      <c r="O176" s="2">
        <v>38496.960868055554</v>
      </c>
    </row>
    <row r="177" spans="1:15" x14ac:dyDescent="0.25">
      <c r="A177">
        <v>169</v>
      </c>
      <c r="B177">
        <v>20</v>
      </c>
      <c r="C177" t="s">
        <v>347</v>
      </c>
      <c r="D177" t="s">
        <v>348</v>
      </c>
      <c r="E177">
        <v>30</v>
      </c>
      <c r="F177">
        <v>115.7</v>
      </c>
      <c r="G177" s="2">
        <v>38498.310833333337</v>
      </c>
      <c r="I177">
        <v>169</v>
      </c>
      <c r="J177">
        <v>575</v>
      </c>
      <c r="K177" t="s">
        <v>497</v>
      </c>
      <c r="L177" t="s">
        <v>498</v>
      </c>
      <c r="M177">
        <v>29</v>
      </c>
      <c r="N177">
        <v>126.71</v>
      </c>
      <c r="O177" s="2">
        <v>38498.310833333337</v>
      </c>
    </row>
    <row r="178" spans="1:15" x14ac:dyDescent="0.25">
      <c r="A178">
        <v>170</v>
      </c>
      <c r="B178">
        <v>53</v>
      </c>
      <c r="C178" t="s">
        <v>353</v>
      </c>
      <c r="D178" t="s">
        <v>195</v>
      </c>
      <c r="E178">
        <v>30</v>
      </c>
      <c r="F178">
        <v>115.7</v>
      </c>
      <c r="G178" s="2">
        <v>38497.592986111114</v>
      </c>
      <c r="I178">
        <v>170</v>
      </c>
      <c r="J178">
        <v>107</v>
      </c>
      <c r="K178" t="s">
        <v>364</v>
      </c>
      <c r="L178" t="s">
        <v>365</v>
      </c>
      <c r="M178">
        <v>30</v>
      </c>
      <c r="N178">
        <v>126.7</v>
      </c>
      <c r="O178" s="2">
        <v>38497.592986111114</v>
      </c>
    </row>
    <row r="179" spans="1:15" x14ac:dyDescent="0.25">
      <c r="A179">
        <v>171</v>
      </c>
      <c r="B179">
        <v>444</v>
      </c>
      <c r="C179" t="s">
        <v>418</v>
      </c>
      <c r="D179" t="s">
        <v>419</v>
      </c>
      <c r="E179">
        <v>30</v>
      </c>
      <c r="F179">
        <v>115.7</v>
      </c>
      <c r="G179" s="2">
        <v>38498.301215277781</v>
      </c>
      <c r="I179">
        <v>171</v>
      </c>
      <c r="J179">
        <v>27</v>
      </c>
      <c r="K179" t="s">
        <v>303</v>
      </c>
      <c r="L179" t="s">
        <v>304</v>
      </c>
      <c r="M179">
        <v>31</v>
      </c>
      <c r="N179">
        <v>126.69</v>
      </c>
      <c r="O179" s="2">
        <v>38498.301215277781</v>
      </c>
    </row>
    <row r="180" spans="1:15" x14ac:dyDescent="0.25">
      <c r="A180">
        <v>172</v>
      </c>
      <c r="B180">
        <v>161</v>
      </c>
      <c r="C180" t="s">
        <v>378</v>
      </c>
      <c r="D180" t="s">
        <v>379</v>
      </c>
      <c r="E180">
        <v>30</v>
      </c>
      <c r="F180">
        <v>112.7</v>
      </c>
      <c r="G180" s="2">
        <v>38499.67428240741</v>
      </c>
      <c r="I180">
        <v>172</v>
      </c>
      <c r="J180">
        <v>122</v>
      </c>
      <c r="K180" t="s">
        <v>245</v>
      </c>
      <c r="L180" t="s">
        <v>246</v>
      </c>
      <c r="M180">
        <v>32</v>
      </c>
      <c r="N180">
        <v>126.68</v>
      </c>
      <c r="O180" s="2">
        <v>38499.67428240741</v>
      </c>
    </row>
    <row r="181" spans="1:15" x14ac:dyDescent="0.25">
      <c r="A181">
        <v>173</v>
      </c>
      <c r="B181">
        <v>256</v>
      </c>
      <c r="C181" t="s">
        <v>380</v>
      </c>
      <c r="D181" t="s">
        <v>381</v>
      </c>
      <c r="E181">
        <v>30</v>
      </c>
      <c r="F181">
        <v>112.7</v>
      </c>
      <c r="G181" s="2">
        <v>38497.284143518518</v>
      </c>
      <c r="I181">
        <v>173</v>
      </c>
      <c r="J181">
        <v>158</v>
      </c>
      <c r="K181" t="s">
        <v>253</v>
      </c>
      <c r="L181" t="s">
        <v>254</v>
      </c>
      <c r="M181">
        <v>32</v>
      </c>
      <c r="N181">
        <v>126.68</v>
      </c>
      <c r="O181" s="2">
        <v>38497.284143518518</v>
      </c>
    </row>
    <row r="182" spans="1:15" x14ac:dyDescent="0.25">
      <c r="A182">
        <v>174</v>
      </c>
      <c r="B182">
        <v>135</v>
      </c>
      <c r="C182" t="s">
        <v>374</v>
      </c>
      <c r="D182" t="s">
        <v>375</v>
      </c>
      <c r="E182">
        <v>30</v>
      </c>
      <c r="F182">
        <v>110.7</v>
      </c>
      <c r="G182" s="2">
        <v>38497.482847222222</v>
      </c>
      <c r="I182">
        <v>174</v>
      </c>
      <c r="J182">
        <v>19</v>
      </c>
      <c r="K182" t="s">
        <v>856</v>
      </c>
      <c r="L182" t="s">
        <v>857</v>
      </c>
      <c r="M182">
        <v>24</v>
      </c>
      <c r="N182">
        <v>125.76</v>
      </c>
      <c r="O182" s="2">
        <v>38497.482847222222</v>
      </c>
    </row>
    <row r="183" spans="1:15" x14ac:dyDescent="0.25">
      <c r="A183">
        <v>175</v>
      </c>
      <c r="B183">
        <v>424</v>
      </c>
      <c r="C183" t="s">
        <v>414</v>
      </c>
      <c r="D183" t="s">
        <v>415</v>
      </c>
      <c r="E183">
        <v>30</v>
      </c>
      <c r="F183">
        <v>110.7</v>
      </c>
      <c r="G183" s="2">
        <v>38499.561712962961</v>
      </c>
      <c r="I183">
        <v>175</v>
      </c>
      <c r="J183">
        <v>389</v>
      </c>
      <c r="K183" t="s">
        <v>723</v>
      </c>
      <c r="L183" t="s">
        <v>724</v>
      </c>
      <c r="M183">
        <v>26</v>
      </c>
      <c r="N183">
        <v>124.74</v>
      </c>
      <c r="O183" s="2">
        <v>38499.561712962961</v>
      </c>
    </row>
    <row r="184" spans="1:15" x14ac:dyDescent="0.25">
      <c r="A184">
        <v>176</v>
      </c>
      <c r="B184">
        <v>275</v>
      </c>
      <c r="C184" t="s">
        <v>384</v>
      </c>
      <c r="D184" t="s">
        <v>385</v>
      </c>
      <c r="E184">
        <v>30</v>
      </c>
      <c r="F184">
        <v>108.7</v>
      </c>
      <c r="G184" s="2">
        <v>38499.135682870372</v>
      </c>
      <c r="I184">
        <v>176</v>
      </c>
      <c r="J184">
        <v>491</v>
      </c>
      <c r="K184" t="s">
        <v>641</v>
      </c>
      <c r="L184" t="s">
        <v>642</v>
      </c>
      <c r="M184">
        <v>27</v>
      </c>
      <c r="N184">
        <v>124.73</v>
      </c>
      <c r="O184" s="2">
        <v>38499.135682870372</v>
      </c>
    </row>
    <row r="185" spans="1:15" x14ac:dyDescent="0.25">
      <c r="A185">
        <v>177</v>
      </c>
      <c r="B185">
        <v>418</v>
      </c>
      <c r="C185" t="s">
        <v>412</v>
      </c>
      <c r="D185" t="s">
        <v>413</v>
      </c>
      <c r="E185">
        <v>30</v>
      </c>
      <c r="F185">
        <v>107.7</v>
      </c>
      <c r="G185" s="2">
        <v>38522.855775462966</v>
      </c>
      <c r="I185">
        <v>177</v>
      </c>
      <c r="J185">
        <v>400</v>
      </c>
      <c r="K185" t="s">
        <v>558</v>
      </c>
      <c r="L185" t="s">
        <v>559</v>
      </c>
      <c r="M185">
        <v>28</v>
      </c>
      <c r="N185">
        <v>124.72</v>
      </c>
      <c r="O185" s="2">
        <v>38522.855775462966</v>
      </c>
    </row>
    <row r="186" spans="1:15" x14ac:dyDescent="0.25">
      <c r="A186">
        <v>178</v>
      </c>
      <c r="B186">
        <v>391</v>
      </c>
      <c r="C186" t="s">
        <v>406</v>
      </c>
      <c r="D186" t="s">
        <v>407</v>
      </c>
      <c r="E186">
        <v>30</v>
      </c>
      <c r="F186">
        <v>104.7</v>
      </c>
      <c r="G186" s="2">
        <v>38497.458414351851</v>
      </c>
      <c r="I186">
        <v>178</v>
      </c>
      <c r="J186">
        <v>388</v>
      </c>
      <c r="K186" t="s">
        <v>404</v>
      </c>
      <c r="L186" t="s">
        <v>405</v>
      </c>
      <c r="M186">
        <v>30</v>
      </c>
      <c r="N186">
        <v>124.7</v>
      </c>
      <c r="O186" s="2">
        <v>38497.458414351851</v>
      </c>
    </row>
    <row r="187" spans="1:15" x14ac:dyDescent="0.25">
      <c r="A187">
        <v>179</v>
      </c>
      <c r="B187">
        <v>337</v>
      </c>
      <c r="C187" t="s">
        <v>465</v>
      </c>
      <c r="D187" t="s">
        <v>466</v>
      </c>
      <c r="E187">
        <v>29</v>
      </c>
      <c r="F187">
        <v>143.71</v>
      </c>
      <c r="G187" s="2">
        <v>38499.351736111108</v>
      </c>
      <c r="I187">
        <v>179</v>
      </c>
      <c r="J187">
        <v>230</v>
      </c>
      <c r="K187" t="s">
        <v>213</v>
      </c>
      <c r="L187" t="s">
        <v>214</v>
      </c>
      <c r="M187">
        <v>33</v>
      </c>
      <c r="N187">
        <v>124.67</v>
      </c>
      <c r="O187" s="2">
        <v>38499.351736111108</v>
      </c>
    </row>
    <row r="188" spans="1:15" x14ac:dyDescent="0.25">
      <c r="A188">
        <v>180</v>
      </c>
      <c r="B188">
        <v>363</v>
      </c>
      <c r="C188" t="s">
        <v>469</v>
      </c>
      <c r="D188" t="s">
        <v>470</v>
      </c>
      <c r="E188">
        <v>29</v>
      </c>
      <c r="F188">
        <v>143.71</v>
      </c>
      <c r="G188" s="2">
        <v>38501.31621527778</v>
      </c>
      <c r="I188">
        <v>180</v>
      </c>
      <c r="J188">
        <v>129</v>
      </c>
      <c r="K188" t="s">
        <v>167</v>
      </c>
      <c r="L188" t="s">
        <v>168</v>
      </c>
      <c r="M188">
        <v>34</v>
      </c>
      <c r="N188">
        <v>124.66</v>
      </c>
      <c r="O188" s="2">
        <v>38501.31621527778</v>
      </c>
    </row>
    <row r="189" spans="1:15" x14ac:dyDescent="0.25">
      <c r="A189">
        <v>181</v>
      </c>
      <c r="B189">
        <v>39</v>
      </c>
      <c r="C189" t="s">
        <v>436</v>
      </c>
      <c r="D189" t="s">
        <v>437</v>
      </c>
      <c r="E189">
        <v>29</v>
      </c>
      <c r="F189">
        <v>141.71</v>
      </c>
      <c r="G189" s="2">
        <v>38519.325787037036</v>
      </c>
      <c r="I189">
        <v>181</v>
      </c>
      <c r="J189">
        <v>166</v>
      </c>
      <c r="K189" t="s">
        <v>526</v>
      </c>
      <c r="L189" t="s">
        <v>527</v>
      </c>
      <c r="M189">
        <v>28</v>
      </c>
      <c r="N189">
        <v>123.72</v>
      </c>
      <c r="O189" s="2">
        <v>38519.325787037036</v>
      </c>
    </row>
    <row r="190" spans="1:15" x14ac:dyDescent="0.25">
      <c r="A190">
        <v>182</v>
      </c>
      <c r="B190">
        <v>146</v>
      </c>
      <c r="C190" t="s">
        <v>444</v>
      </c>
      <c r="D190" t="s">
        <v>445</v>
      </c>
      <c r="E190">
        <v>29</v>
      </c>
      <c r="F190">
        <v>139.71</v>
      </c>
      <c r="G190" s="2">
        <v>38501.469340277778</v>
      </c>
      <c r="I190">
        <v>182</v>
      </c>
      <c r="J190">
        <v>268</v>
      </c>
      <c r="K190" t="s">
        <v>457</v>
      </c>
      <c r="L190" t="s">
        <v>458</v>
      </c>
      <c r="M190">
        <v>29</v>
      </c>
      <c r="N190">
        <v>123.71</v>
      </c>
      <c r="O190" s="2">
        <v>38501.469340277778</v>
      </c>
    </row>
    <row r="191" spans="1:15" x14ac:dyDescent="0.25">
      <c r="A191">
        <v>183</v>
      </c>
      <c r="B191">
        <v>467</v>
      </c>
      <c r="C191" t="s">
        <v>479</v>
      </c>
      <c r="D191" t="s">
        <v>480</v>
      </c>
      <c r="E191">
        <v>29</v>
      </c>
      <c r="F191">
        <v>139.71</v>
      </c>
      <c r="G191" s="2">
        <v>38498.435995370368</v>
      </c>
      <c r="I191">
        <v>183</v>
      </c>
      <c r="J191">
        <v>499</v>
      </c>
      <c r="K191" t="s">
        <v>424</v>
      </c>
      <c r="L191" t="s">
        <v>425</v>
      </c>
      <c r="M191">
        <v>30</v>
      </c>
      <c r="N191">
        <v>123.7</v>
      </c>
      <c r="O191" s="2">
        <v>38498.435995370368</v>
      </c>
    </row>
    <row r="192" spans="1:15" x14ac:dyDescent="0.25">
      <c r="A192">
        <v>184</v>
      </c>
      <c r="B192">
        <v>349</v>
      </c>
      <c r="C192" t="s">
        <v>467</v>
      </c>
      <c r="D192" t="s">
        <v>468</v>
      </c>
      <c r="E192">
        <v>29</v>
      </c>
      <c r="F192">
        <v>138.71</v>
      </c>
      <c r="G192" s="2">
        <v>38502.321574074071</v>
      </c>
      <c r="I192">
        <v>184</v>
      </c>
      <c r="J192">
        <v>30</v>
      </c>
      <c r="K192" t="s">
        <v>154</v>
      </c>
      <c r="L192" t="s">
        <v>155</v>
      </c>
      <c r="M192">
        <v>34</v>
      </c>
      <c r="N192">
        <v>123.66</v>
      </c>
      <c r="O192" s="2">
        <v>38502.321574074071</v>
      </c>
    </row>
    <row r="193" spans="1:15" x14ac:dyDescent="0.25">
      <c r="A193">
        <v>185</v>
      </c>
      <c r="B193">
        <v>482</v>
      </c>
      <c r="C193" t="s">
        <v>483</v>
      </c>
      <c r="D193" t="s">
        <v>484</v>
      </c>
      <c r="E193">
        <v>29</v>
      </c>
      <c r="F193">
        <v>138.71</v>
      </c>
      <c r="G193" s="2">
        <v>38498.64775462963</v>
      </c>
      <c r="I193">
        <v>185</v>
      </c>
      <c r="J193">
        <v>510</v>
      </c>
      <c r="K193" t="s">
        <v>745</v>
      </c>
      <c r="L193" t="s">
        <v>746</v>
      </c>
      <c r="M193">
        <v>26</v>
      </c>
      <c r="N193">
        <v>122.74</v>
      </c>
      <c r="O193" s="2">
        <v>38498.64775462963</v>
      </c>
    </row>
    <row r="194" spans="1:15" x14ac:dyDescent="0.25">
      <c r="A194">
        <v>186</v>
      </c>
      <c r="B194">
        <v>448</v>
      </c>
      <c r="C194" t="s">
        <v>477</v>
      </c>
      <c r="D194" t="s">
        <v>478</v>
      </c>
      <c r="E194">
        <v>29</v>
      </c>
      <c r="F194">
        <v>135.71</v>
      </c>
      <c r="G194" s="2">
        <v>38498.871944444443</v>
      </c>
      <c r="I194">
        <v>186</v>
      </c>
      <c r="J194">
        <v>331</v>
      </c>
      <c r="K194" t="s">
        <v>626</v>
      </c>
      <c r="L194" t="s">
        <v>627</v>
      </c>
      <c r="M194">
        <v>27</v>
      </c>
      <c r="N194">
        <v>122.73</v>
      </c>
      <c r="O194" s="2">
        <v>38498.871944444443</v>
      </c>
    </row>
    <row r="195" spans="1:15" x14ac:dyDescent="0.25">
      <c r="A195">
        <v>187</v>
      </c>
      <c r="B195">
        <v>179</v>
      </c>
      <c r="C195" t="s">
        <v>450</v>
      </c>
      <c r="D195" t="s">
        <v>451</v>
      </c>
      <c r="E195">
        <v>29</v>
      </c>
      <c r="F195">
        <v>133.71</v>
      </c>
      <c r="G195" s="2">
        <v>38500.065775462965</v>
      </c>
      <c r="I195">
        <v>187</v>
      </c>
      <c r="J195">
        <v>276</v>
      </c>
      <c r="K195" t="s">
        <v>538</v>
      </c>
      <c r="L195" t="s">
        <v>539</v>
      </c>
      <c r="M195">
        <v>28</v>
      </c>
      <c r="N195">
        <v>122.72</v>
      </c>
      <c r="O195" s="2">
        <v>38500.065775462965</v>
      </c>
    </row>
    <row r="196" spans="1:15" x14ac:dyDescent="0.25">
      <c r="A196">
        <v>188</v>
      </c>
      <c r="B196">
        <v>265</v>
      </c>
      <c r="C196" t="s">
        <v>456</v>
      </c>
      <c r="D196" t="s">
        <v>452</v>
      </c>
      <c r="E196">
        <v>29</v>
      </c>
      <c r="F196">
        <v>133.71</v>
      </c>
      <c r="G196" s="2">
        <v>38497.465138888889</v>
      </c>
      <c r="I196">
        <v>188</v>
      </c>
      <c r="J196">
        <v>163</v>
      </c>
      <c r="K196" t="s">
        <v>446</v>
      </c>
      <c r="L196" t="s">
        <v>447</v>
      </c>
      <c r="M196">
        <v>29</v>
      </c>
      <c r="N196">
        <v>122.71</v>
      </c>
      <c r="O196" s="2">
        <v>38497.465138888889</v>
      </c>
    </row>
    <row r="197" spans="1:15" x14ac:dyDescent="0.25">
      <c r="A197">
        <v>189</v>
      </c>
      <c r="B197">
        <v>316</v>
      </c>
      <c r="C197" t="s">
        <v>463</v>
      </c>
      <c r="D197" t="s">
        <v>464</v>
      </c>
      <c r="E197">
        <v>29</v>
      </c>
      <c r="F197">
        <v>132.71</v>
      </c>
      <c r="G197" s="2">
        <v>38497.029988425929</v>
      </c>
      <c r="I197">
        <v>189</v>
      </c>
      <c r="J197">
        <v>263</v>
      </c>
      <c r="K197" t="s">
        <v>454</v>
      </c>
      <c r="L197" t="s">
        <v>455</v>
      </c>
      <c r="M197">
        <v>29</v>
      </c>
      <c r="N197">
        <v>122.71</v>
      </c>
      <c r="O197" s="2">
        <v>38497.029988425929</v>
      </c>
    </row>
    <row r="198" spans="1:15" x14ac:dyDescent="0.25">
      <c r="A198">
        <v>190</v>
      </c>
      <c r="B198">
        <v>54</v>
      </c>
      <c r="C198" t="s">
        <v>440</v>
      </c>
      <c r="D198" t="s">
        <v>441</v>
      </c>
      <c r="E198">
        <v>29</v>
      </c>
      <c r="F198">
        <v>128.71</v>
      </c>
      <c r="G198" s="2">
        <v>38498.294317129628</v>
      </c>
      <c r="I198">
        <v>190</v>
      </c>
      <c r="J198">
        <v>260</v>
      </c>
      <c r="K198" t="s">
        <v>319</v>
      </c>
      <c r="L198" t="s">
        <v>320</v>
      </c>
      <c r="M198">
        <v>31</v>
      </c>
      <c r="N198">
        <v>122.69</v>
      </c>
      <c r="O198" s="2">
        <v>38498.294317129628</v>
      </c>
    </row>
    <row r="199" spans="1:15" x14ac:dyDescent="0.25">
      <c r="A199">
        <v>191</v>
      </c>
      <c r="B199">
        <v>32</v>
      </c>
      <c r="C199" t="s">
        <v>434</v>
      </c>
      <c r="D199" t="s">
        <v>435</v>
      </c>
      <c r="E199">
        <v>29</v>
      </c>
      <c r="F199">
        <v>127.71</v>
      </c>
      <c r="G199" s="2">
        <v>38499.958622685182</v>
      </c>
      <c r="I199">
        <v>191</v>
      </c>
      <c r="J199">
        <v>406</v>
      </c>
      <c r="K199" t="s">
        <v>283</v>
      </c>
      <c r="L199" t="s">
        <v>284</v>
      </c>
      <c r="M199">
        <v>32</v>
      </c>
      <c r="N199">
        <v>122.68</v>
      </c>
      <c r="O199" s="2">
        <v>38499.958622685182</v>
      </c>
    </row>
    <row r="200" spans="1:15" x14ac:dyDescent="0.25">
      <c r="A200">
        <v>192</v>
      </c>
      <c r="B200">
        <v>253</v>
      </c>
      <c r="C200" t="s">
        <v>452</v>
      </c>
      <c r="D200" t="s">
        <v>453</v>
      </c>
      <c r="E200">
        <v>29</v>
      </c>
      <c r="F200">
        <v>127.71</v>
      </c>
      <c r="G200" s="2">
        <v>38500.410868055558</v>
      </c>
      <c r="I200">
        <v>192</v>
      </c>
      <c r="J200">
        <v>241</v>
      </c>
      <c r="K200" t="s">
        <v>183</v>
      </c>
      <c r="L200" t="s">
        <v>184</v>
      </c>
      <c r="M200">
        <v>34</v>
      </c>
      <c r="N200">
        <v>122.66</v>
      </c>
      <c r="O200" s="2">
        <v>38500.410868055558</v>
      </c>
    </row>
    <row r="201" spans="1:15" x14ac:dyDescent="0.25">
      <c r="A201">
        <v>193</v>
      </c>
      <c r="B201">
        <v>302</v>
      </c>
      <c r="C201" t="s">
        <v>461</v>
      </c>
      <c r="D201" t="s">
        <v>462</v>
      </c>
      <c r="E201">
        <v>29</v>
      </c>
      <c r="F201">
        <v>127.71</v>
      </c>
      <c r="G201" s="2">
        <v>38497.199814814812</v>
      </c>
      <c r="I201">
        <v>193</v>
      </c>
      <c r="J201">
        <v>571</v>
      </c>
      <c r="K201" t="s">
        <v>918</v>
      </c>
      <c r="L201" t="s">
        <v>919</v>
      </c>
      <c r="M201">
        <v>24</v>
      </c>
      <c r="N201">
        <v>121.76</v>
      </c>
      <c r="O201" s="2">
        <v>38497.199814814812</v>
      </c>
    </row>
    <row r="202" spans="1:15" x14ac:dyDescent="0.25">
      <c r="A202">
        <v>194</v>
      </c>
      <c r="B202">
        <v>565</v>
      </c>
      <c r="C202" t="s">
        <v>493</v>
      </c>
      <c r="D202" t="s">
        <v>494</v>
      </c>
      <c r="E202">
        <v>29</v>
      </c>
      <c r="F202">
        <v>126.71</v>
      </c>
      <c r="G202" s="2">
        <v>38499.832361111112</v>
      </c>
      <c r="I202">
        <v>194</v>
      </c>
      <c r="J202">
        <v>149</v>
      </c>
      <c r="K202" t="s">
        <v>676</v>
      </c>
      <c r="L202" t="s">
        <v>677</v>
      </c>
      <c r="M202">
        <v>26</v>
      </c>
      <c r="N202">
        <v>121.74</v>
      </c>
      <c r="O202" s="2">
        <v>38499.832361111112</v>
      </c>
    </row>
    <row r="203" spans="1:15" x14ac:dyDescent="0.25">
      <c r="A203">
        <v>195</v>
      </c>
      <c r="B203">
        <v>575</v>
      </c>
      <c r="C203" t="s">
        <v>497</v>
      </c>
      <c r="D203" t="s">
        <v>498</v>
      </c>
      <c r="E203">
        <v>29</v>
      </c>
      <c r="F203">
        <v>126.71</v>
      </c>
      <c r="G203" s="2">
        <v>38497.046249999999</v>
      </c>
      <c r="I203">
        <v>195</v>
      </c>
      <c r="J203">
        <v>356</v>
      </c>
      <c r="K203" t="s">
        <v>402</v>
      </c>
      <c r="L203" t="s">
        <v>403</v>
      </c>
      <c r="M203">
        <v>30</v>
      </c>
      <c r="N203">
        <v>121.7</v>
      </c>
      <c r="O203" s="2">
        <v>38497.046249999999</v>
      </c>
    </row>
    <row r="204" spans="1:15" x14ac:dyDescent="0.25">
      <c r="A204">
        <v>196</v>
      </c>
      <c r="B204">
        <v>268</v>
      </c>
      <c r="C204" t="s">
        <v>457</v>
      </c>
      <c r="D204" t="s">
        <v>458</v>
      </c>
      <c r="E204">
        <v>29</v>
      </c>
      <c r="F204">
        <v>123.71</v>
      </c>
      <c r="G204" s="2">
        <v>38518.678715277776</v>
      </c>
      <c r="I204">
        <v>196</v>
      </c>
      <c r="J204">
        <v>393</v>
      </c>
      <c r="K204" t="s">
        <v>335</v>
      </c>
      <c r="L204" t="s">
        <v>336</v>
      </c>
      <c r="M204">
        <v>31</v>
      </c>
      <c r="N204">
        <v>121.69</v>
      </c>
      <c r="O204" s="2">
        <v>38518.678715277776</v>
      </c>
    </row>
    <row r="205" spans="1:15" x14ac:dyDescent="0.25">
      <c r="A205">
        <v>197</v>
      </c>
      <c r="B205">
        <v>163</v>
      </c>
      <c r="C205" t="s">
        <v>446</v>
      </c>
      <c r="D205" t="s">
        <v>447</v>
      </c>
      <c r="E205">
        <v>29</v>
      </c>
      <c r="F205">
        <v>122.71</v>
      </c>
      <c r="G205" s="2">
        <v>38518.292245370372</v>
      </c>
      <c r="I205">
        <v>197</v>
      </c>
      <c r="J205">
        <v>416</v>
      </c>
      <c r="K205" t="s">
        <v>337</v>
      </c>
      <c r="L205" t="s">
        <v>338</v>
      </c>
      <c r="M205">
        <v>31</v>
      </c>
      <c r="N205">
        <v>121.69</v>
      </c>
      <c r="O205" s="2">
        <v>38518.292245370372</v>
      </c>
    </row>
    <row r="206" spans="1:15" x14ac:dyDescent="0.25">
      <c r="A206">
        <v>198</v>
      </c>
      <c r="B206">
        <v>263</v>
      </c>
      <c r="C206" t="s">
        <v>454</v>
      </c>
      <c r="D206" t="s">
        <v>455</v>
      </c>
      <c r="E206">
        <v>29</v>
      </c>
      <c r="F206">
        <v>122.71</v>
      </c>
      <c r="G206" s="2">
        <v>38497.690555555557</v>
      </c>
      <c r="I206">
        <v>198</v>
      </c>
      <c r="J206">
        <v>311</v>
      </c>
      <c r="K206" t="s">
        <v>959</v>
      </c>
      <c r="L206" t="s">
        <v>960</v>
      </c>
      <c r="M206">
        <v>23</v>
      </c>
      <c r="N206">
        <v>120.77</v>
      </c>
      <c r="O206" s="2">
        <v>38497.690555555557</v>
      </c>
    </row>
    <row r="207" spans="1:15" x14ac:dyDescent="0.25">
      <c r="A207">
        <v>199</v>
      </c>
      <c r="B207">
        <v>573</v>
      </c>
      <c r="C207" t="s">
        <v>495</v>
      </c>
      <c r="D207" t="s">
        <v>496</v>
      </c>
      <c r="E207">
        <v>29</v>
      </c>
      <c r="F207">
        <v>120.71</v>
      </c>
      <c r="G207" s="2">
        <v>38501.915775462963</v>
      </c>
      <c r="I207">
        <v>199</v>
      </c>
      <c r="J207">
        <v>105</v>
      </c>
      <c r="K207" t="s">
        <v>666</v>
      </c>
      <c r="L207" t="s">
        <v>667</v>
      </c>
      <c r="M207">
        <v>26</v>
      </c>
      <c r="N207">
        <v>120.74</v>
      </c>
      <c r="O207" s="2">
        <v>38501.915775462963</v>
      </c>
    </row>
    <row r="208" spans="1:15" x14ac:dyDescent="0.25">
      <c r="A208">
        <v>200</v>
      </c>
      <c r="B208">
        <v>173</v>
      </c>
      <c r="C208" t="s">
        <v>448</v>
      </c>
      <c r="D208" t="s">
        <v>449</v>
      </c>
      <c r="E208">
        <v>29</v>
      </c>
      <c r="F208">
        <v>119.71</v>
      </c>
      <c r="G208" s="2">
        <v>38500.469305555554</v>
      </c>
      <c r="I208">
        <v>200</v>
      </c>
      <c r="J208">
        <v>225</v>
      </c>
      <c r="K208" t="s">
        <v>690</v>
      </c>
      <c r="L208" t="s">
        <v>691</v>
      </c>
      <c r="M208">
        <v>26</v>
      </c>
      <c r="N208">
        <v>120.74</v>
      </c>
      <c r="O208" s="2">
        <v>38500.469305555554</v>
      </c>
    </row>
    <row r="209" spans="1:15" x14ac:dyDescent="0.25">
      <c r="A209">
        <v>201</v>
      </c>
      <c r="B209">
        <v>529</v>
      </c>
      <c r="C209" t="s">
        <v>487</v>
      </c>
      <c r="D209" t="s">
        <v>488</v>
      </c>
      <c r="E209">
        <v>29</v>
      </c>
      <c r="F209">
        <v>118.71</v>
      </c>
      <c r="G209" s="2">
        <v>38499.813379629632</v>
      </c>
      <c r="I209">
        <v>201</v>
      </c>
      <c r="J209">
        <v>423</v>
      </c>
      <c r="K209" t="s">
        <v>729</v>
      </c>
      <c r="L209" t="s">
        <v>730</v>
      </c>
      <c r="M209">
        <v>26</v>
      </c>
      <c r="N209">
        <v>120.74</v>
      </c>
      <c r="O209" s="2">
        <v>38499.813379629632</v>
      </c>
    </row>
    <row r="210" spans="1:15" x14ac:dyDescent="0.25">
      <c r="A210">
        <v>202</v>
      </c>
      <c r="B210">
        <v>386</v>
      </c>
      <c r="C210" t="s">
        <v>471</v>
      </c>
      <c r="D210" t="s">
        <v>472</v>
      </c>
      <c r="E210">
        <v>29</v>
      </c>
      <c r="F210">
        <v>117.71</v>
      </c>
      <c r="G210" s="2">
        <v>38500.492303240739</v>
      </c>
      <c r="I210">
        <v>202</v>
      </c>
      <c r="J210">
        <v>495</v>
      </c>
      <c r="K210" t="s">
        <v>743</v>
      </c>
      <c r="L210" t="s">
        <v>744</v>
      </c>
      <c r="M210">
        <v>26</v>
      </c>
      <c r="N210">
        <v>120.74</v>
      </c>
      <c r="O210" s="2">
        <v>38500.492303240739</v>
      </c>
    </row>
    <row r="211" spans="1:15" x14ac:dyDescent="0.25">
      <c r="A211">
        <v>203</v>
      </c>
      <c r="B211">
        <v>538</v>
      </c>
      <c r="C211" t="s">
        <v>489</v>
      </c>
      <c r="D211" t="s">
        <v>490</v>
      </c>
      <c r="E211">
        <v>29</v>
      </c>
      <c r="F211">
        <v>117.71</v>
      </c>
      <c r="G211" s="2">
        <v>38500.570787037039</v>
      </c>
      <c r="I211">
        <v>203</v>
      </c>
      <c r="J211">
        <v>573</v>
      </c>
      <c r="K211" t="s">
        <v>495</v>
      </c>
      <c r="L211" t="s">
        <v>496</v>
      </c>
      <c r="M211">
        <v>29</v>
      </c>
      <c r="N211">
        <v>120.71</v>
      </c>
      <c r="O211" s="2">
        <v>38500.570787037039</v>
      </c>
    </row>
    <row r="212" spans="1:15" x14ac:dyDescent="0.25">
      <c r="A212">
        <v>204</v>
      </c>
      <c r="B212">
        <v>25</v>
      </c>
      <c r="C212" t="s">
        <v>432</v>
      </c>
      <c r="D212" t="s">
        <v>433</v>
      </c>
      <c r="E212">
        <v>29</v>
      </c>
      <c r="F212">
        <v>115.71</v>
      </c>
      <c r="G212" s="2">
        <v>38497.605150462965</v>
      </c>
      <c r="I212">
        <v>204</v>
      </c>
      <c r="J212">
        <v>251</v>
      </c>
      <c r="K212" t="s">
        <v>317</v>
      </c>
      <c r="L212" t="s">
        <v>318</v>
      </c>
      <c r="M212">
        <v>31</v>
      </c>
      <c r="N212">
        <v>120.69</v>
      </c>
      <c r="O212" s="2">
        <v>38497.605150462965</v>
      </c>
    </row>
    <row r="213" spans="1:15" x14ac:dyDescent="0.25">
      <c r="A213">
        <v>205</v>
      </c>
      <c r="B213">
        <v>287</v>
      </c>
      <c r="C213" t="s">
        <v>459</v>
      </c>
      <c r="D213" t="s">
        <v>460</v>
      </c>
      <c r="E213">
        <v>29</v>
      </c>
      <c r="F213">
        <v>115.71</v>
      </c>
      <c r="G213" s="2">
        <v>38500.042604166665</v>
      </c>
      <c r="I213">
        <v>205</v>
      </c>
      <c r="J213">
        <v>170</v>
      </c>
      <c r="K213" t="s">
        <v>678</v>
      </c>
      <c r="L213" t="s">
        <v>229</v>
      </c>
      <c r="M213">
        <v>26</v>
      </c>
      <c r="N213">
        <v>119.74</v>
      </c>
      <c r="O213" s="2">
        <v>38500.042604166665</v>
      </c>
    </row>
    <row r="214" spans="1:15" x14ac:dyDescent="0.25">
      <c r="A214">
        <v>206</v>
      </c>
      <c r="B214">
        <v>481</v>
      </c>
      <c r="C214" t="s">
        <v>481</v>
      </c>
      <c r="D214" t="s">
        <v>482</v>
      </c>
      <c r="E214">
        <v>29</v>
      </c>
      <c r="F214">
        <v>115.71</v>
      </c>
      <c r="G214" s="2">
        <v>38503.633506944447</v>
      </c>
      <c r="I214">
        <v>206</v>
      </c>
      <c r="J214">
        <v>487</v>
      </c>
      <c r="K214" t="s">
        <v>741</v>
      </c>
      <c r="L214" t="s">
        <v>742</v>
      </c>
      <c r="M214">
        <v>26</v>
      </c>
      <c r="N214">
        <v>119.74</v>
      </c>
      <c r="O214" s="2">
        <v>38503.633506944447</v>
      </c>
    </row>
    <row r="215" spans="1:15" x14ac:dyDescent="0.25">
      <c r="A215">
        <v>207</v>
      </c>
      <c r="B215">
        <v>485</v>
      </c>
      <c r="C215" t="s">
        <v>485</v>
      </c>
      <c r="D215" t="s">
        <v>486</v>
      </c>
      <c r="E215">
        <v>29</v>
      </c>
      <c r="F215">
        <v>115.71</v>
      </c>
      <c r="G215" s="2">
        <v>38503.07471064815</v>
      </c>
      <c r="I215">
        <v>207</v>
      </c>
      <c r="J215">
        <v>421</v>
      </c>
      <c r="K215" t="s">
        <v>635</v>
      </c>
      <c r="L215" t="s">
        <v>636</v>
      </c>
      <c r="M215">
        <v>27</v>
      </c>
      <c r="N215">
        <v>119.73</v>
      </c>
      <c r="O215" s="2">
        <v>38503.07471064815</v>
      </c>
    </row>
    <row r="216" spans="1:15" x14ac:dyDescent="0.25">
      <c r="A216">
        <v>208</v>
      </c>
      <c r="B216">
        <v>588</v>
      </c>
      <c r="C216" t="s">
        <v>57</v>
      </c>
      <c r="D216" t="s">
        <v>499</v>
      </c>
      <c r="E216">
        <v>29</v>
      </c>
      <c r="F216">
        <v>115.71</v>
      </c>
      <c r="G216" s="2">
        <v>38500.455671296295</v>
      </c>
      <c r="I216">
        <v>208</v>
      </c>
      <c r="J216">
        <v>262</v>
      </c>
      <c r="K216" t="s">
        <v>534</v>
      </c>
      <c r="L216" t="s">
        <v>535</v>
      </c>
      <c r="M216">
        <v>28</v>
      </c>
      <c r="N216">
        <v>119.72</v>
      </c>
      <c r="O216" s="2">
        <v>38500.455671296295</v>
      </c>
    </row>
    <row r="217" spans="1:15" x14ac:dyDescent="0.25">
      <c r="A217">
        <v>209</v>
      </c>
      <c r="B217">
        <v>113</v>
      </c>
      <c r="C217" t="s">
        <v>442</v>
      </c>
      <c r="D217" t="s">
        <v>443</v>
      </c>
      <c r="E217">
        <v>29</v>
      </c>
      <c r="F217">
        <v>113.71</v>
      </c>
      <c r="G217" s="2">
        <v>38500.119606481479</v>
      </c>
      <c r="I217">
        <v>209</v>
      </c>
      <c r="J217">
        <v>173</v>
      </c>
      <c r="K217" t="s">
        <v>448</v>
      </c>
      <c r="L217" t="s">
        <v>449</v>
      </c>
      <c r="M217">
        <v>29</v>
      </c>
      <c r="N217">
        <v>119.71</v>
      </c>
      <c r="O217" s="2">
        <v>38500.119606481479</v>
      </c>
    </row>
    <row r="218" spans="1:15" x14ac:dyDescent="0.25">
      <c r="A218">
        <v>210</v>
      </c>
      <c r="B218">
        <v>447</v>
      </c>
      <c r="C218" t="s">
        <v>475</v>
      </c>
      <c r="D218" t="s">
        <v>476</v>
      </c>
      <c r="E218">
        <v>29</v>
      </c>
      <c r="F218">
        <v>113.71</v>
      </c>
      <c r="G218" s="2">
        <v>38499.839525462965</v>
      </c>
      <c r="I218">
        <v>210</v>
      </c>
      <c r="J218">
        <v>23</v>
      </c>
      <c r="K218" t="s">
        <v>349</v>
      </c>
      <c r="L218" t="s">
        <v>350</v>
      </c>
      <c r="M218">
        <v>30</v>
      </c>
      <c r="N218">
        <v>119.7</v>
      </c>
      <c r="O218" s="2">
        <v>38499.839525462965</v>
      </c>
    </row>
    <row r="219" spans="1:15" x14ac:dyDescent="0.25">
      <c r="A219">
        <v>211</v>
      </c>
      <c r="B219">
        <v>592</v>
      </c>
      <c r="C219" t="s">
        <v>500</v>
      </c>
      <c r="D219" t="s">
        <v>501</v>
      </c>
      <c r="E219">
        <v>29</v>
      </c>
      <c r="F219">
        <v>111.71</v>
      </c>
      <c r="G219" s="2">
        <v>38517.967199074075</v>
      </c>
      <c r="I219">
        <v>211</v>
      </c>
      <c r="J219">
        <v>336</v>
      </c>
      <c r="K219" t="s">
        <v>396</v>
      </c>
      <c r="L219" t="s">
        <v>397</v>
      </c>
      <c r="M219">
        <v>30</v>
      </c>
      <c r="N219">
        <v>119.7</v>
      </c>
      <c r="O219" s="2">
        <v>38517.967199074075</v>
      </c>
    </row>
    <row r="220" spans="1:15" x14ac:dyDescent="0.25">
      <c r="A220">
        <v>212</v>
      </c>
      <c r="B220">
        <v>563</v>
      </c>
      <c r="C220" t="s">
        <v>491</v>
      </c>
      <c r="D220" t="s">
        <v>492</v>
      </c>
      <c r="E220">
        <v>29</v>
      </c>
      <c r="F220">
        <v>110.71</v>
      </c>
      <c r="G220" s="2">
        <v>38501.438842592594</v>
      </c>
      <c r="I220">
        <v>212</v>
      </c>
      <c r="J220">
        <v>340</v>
      </c>
      <c r="K220" t="s">
        <v>331</v>
      </c>
      <c r="L220" t="s">
        <v>332</v>
      </c>
      <c r="M220">
        <v>31</v>
      </c>
      <c r="N220">
        <v>119.69</v>
      </c>
      <c r="O220" s="2">
        <v>38501.438842592594</v>
      </c>
    </row>
    <row r="221" spans="1:15" x14ac:dyDescent="0.25">
      <c r="A221">
        <v>213</v>
      </c>
      <c r="B221">
        <v>52</v>
      </c>
      <c r="C221" t="s">
        <v>438</v>
      </c>
      <c r="D221" t="s">
        <v>439</v>
      </c>
      <c r="E221">
        <v>29</v>
      </c>
      <c r="F221">
        <v>107.71</v>
      </c>
      <c r="G221" s="2">
        <v>38502.233576388891</v>
      </c>
      <c r="I221">
        <v>213</v>
      </c>
      <c r="J221">
        <v>167</v>
      </c>
      <c r="K221" t="s">
        <v>255</v>
      </c>
      <c r="L221" t="s">
        <v>256</v>
      </c>
      <c r="M221">
        <v>32</v>
      </c>
      <c r="N221">
        <v>119.68</v>
      </c>
      <c r="O221" s="2">
        <v>38502.233576388891</v>
      </c>
    </row>
    <row r="222" spans="1:15" x14ac:dyDescent="0.25">
      <c r="A222">
        <v>214</v>
      </c>
      <c r="B222">
        <v>397</v>
      </c>
      <c r="C222" t="s">
        <v>473</v>
      </c>
      <c r="D222" t="s">
        <v>474</v>
      </c>
      <c r="E222">
        <v>29</v>
      </c>
      <c r="F222">
        <v>105.71</v>
      </c>
      <c r="G222" s="2">
        <v>38503.03328703704</v>
      </c>
      <c r="I222">
        <v>214</v>
      </c>
      <c r="J222">
        <v>41</v>
      </c>
      <c r="K222" t="s">
        <v>764</v>
      </c>
      <c r="L222" t="s">
        <v>293</v>
      </c>
      <c r="M222">
        <v>25</v>
      </c>
      <c r="N222">
        <v>118.75</v>
      </c>
      <c r="O222" s="2">
        <v>38503.03328703704</v>
      </c>
    </row>
    <row r="223" spans="1:15" x14ac:dyDescent="0.25">
      <c r="A223">
        <v>215</v>
      </c>
      <c r="B223">
        <v>461</v>
      </c>
      <c r="C223" t="s">
        <v>564</v>
      </c>
      <c r="D223" t="s">
        <v>565</v>
      </c>
      <c r="E223">
        <v>28</v>
      </c>
      <c r="F223">
        <v>97.72</v>
      </c>
      <c r="G223" s="2">
        <v>38501.009201388886</v>
      </c>
      <c r="I223">
        <v>215</v>
      </c>
      <c r="J223">
        <v>531</v>
      </c>
      <c r="K223" t="s">
        <v>444</v>
      </c>
      <c r="L223" t="s">
        <v>836</v>
      </c>
      <c r="M223">
        <v>25</v>
      </c>
      <c r="N223">
        <v>118.75</v>
      </c>
      <c r="O223" s="2">
        <v>38501.009201388886</v>
      </c>
    </row>
    <row r="224" spans="1:15" x14ac:dyDescent="0.25">
      <c r="A224">
        <v>216</v>
      </c>
      <c r="B224">
        <v>596</v>
      </c>
      <c r="C224" t="s">
        <v>580</v>
      </c>
      <c r="D224" t="s">
        <v>581</v>
      </c>
      <c r="E224">
        <v>28</v>
      </c>
      <c r="F224">
        <v>96.72</v>
      </c>
      <c r="G224" s="2">
        <v>38498.886712962965</v>
      </c>
      <c r="I224">
        <v>216</v>
      </c>
      <c r="J224">
        <v>280</v>
      </c>
      <c r="K224" t="s">
        <v>618</v>
      </c>
      <c r="L224" t="s">
        <v>619</v>
      </c>
      <c r="M224">
        <v>27</v>
      </c>
      <c r="N224">
        <v>118.73</v>
      </c>
      <c r="O224" s="2">
        <v>38498.886712962965</v>
      </c>
    </row>
    <row r="225" spans="1:15" x14ac:dyDescent="0.25">
      <c r="A225">
        <v>217</v>
      </c>
      <c r="B225">
        <v>132</v>
      </c>
      <c r="C225" t="s">
        <v>522</v>
      </c>
      <c r="D225" t="s">
        <v>523</v>
      </c>
      <c r="E225">
        <v>28</v>
      </c>
      <c r="F225">
        <v>95.72</v>
      </c>
      <c r="G225" s="2">
        <v>38519.995625000003</v>
      </c>
      <c r="I225">
        <v>217</v>
      </c>
      <c r="J225">
        <v>292</v>
      </c>
      <c r="K225" t="s">
        <v>624</v>
      </c>
      <c r="L225" t="s">
        <v>625</v>
      </c>
      <c r="M225">
        <v>27</v>
      </c>
      <c r="N225">
        <v>118.73</v>
      </c>
      <c r="O225" s="2">
        <v>38519.995625000003</v>
      </c>
    </row>
    <row r="226" spans="1:15" x14ac:dyDescent="0.25">
      <c r="A226">
        <v>218</v>
      </c>
      <c r="B226">
        <v>6</v>
      </c>
      <c r="C226" t="s">
        <v>502</v>
      </c>
      <c r="D226" t="s">
        <v>503</v>
      </c>
      <c r="E226">
        <v>28</v>
      </c>
      <c r="F226">
        <v>93.72</v>
      </c>
      <c r="G226" s="2">
        <v>38497.363564814812</v>
      </c>
      <c r="I226">
        <v>218</v>
      </c>
      <c r="J226">
        <v>16</v>
      </c>
      <c r="K226" t="s">
        <v>508</v>
      </c>
      <c r="L226" t="s">
        <v>509</v>
      </c>
      <c r="M226">
        <v>28</v>
      </c>
      <c r="N226">
        <v>118.72</v>
      </c>
      <c r="O226" s="2">
        <v>38497.363564814812</v>
      </c>
    </row>
    <row r="227" spans="1:15" x14ac:dyDescent="0.25">
      <c r="A227">
        <v>219</v>
      </c>
      <c r="B227">
        <v>283</v>
      </c>
      <c r="C227" t="s">
        <v>540</v>
      </c>
      <c r="D227" t="s">
        <v>541</v>
      </c>
      <c r="E227">
        <v>28</v>
      </c>
      <c r="F227">
        <v>86.72</v>
      </c>
      <c r="G227" s="2">
        <v>38519.705555555556</v>
      </c>
      <c r="I227">
        <v>219</v>
      </c>
      <c r="J227">
        <v>266</v>
      </c>
      <c r="K227" t="s">
        <v>536</v>
      </c>
      <c r="L227" t="s">
        <v>537</v>
      </c>
      <c r="M227">
        <v>28</v>
      </c>
      <c r="N227">
        <v>118.72</v>
      </c>
      <c r="O227" s="2">
        <v>38519.705555555556</v>
      </c>
    </row>
    <row r="228" spans="1:15" x14ac:dyDescent="0.25">
      <c r="A228">
        <v>220</v>
      </c>
      <c r="B228">
        <v>187</v>
      </c>
      <c r="C228" t="s">
        <v>528</v>
      </c>
      <c r="D228" t="s">
        <v>529</v>
      </c>
      <c r="E228">
        <v>28</v>
      </c>
      <c r="F228">
        <v>159.72</v>
      </c>
      <c r="G228" s="2">
        <v>38498.611030092594</v>
      </c>
      <c r="I228">
        <v>220</v>
      </c>
      <c r="J228">
        <v>332</v>
      </c>
      <c r="K228" t="s">
        <v>550</v>
      </c>
      <c r="L228" t="s">
        <v>551</v>
      </c>
      <c r="M228">
        <v>28</v>
      </c>
      <c r="N228">
        <v>118.72</v>
      </c>
      <c r="O228" s="2">
        <v>38498.611030092594</v>
      </c>
    </row>
    <row r="229" spans="1:15" x14ac:dyDescent="0.25">
      <c r="A229">
        <v>221</v>
      </c>
      <c r="B229">
        <v>558</v>
      </c>
      <c r="C229" t="s">
        <v>573</v>
      </c>
      <c r="D229" t="s">
        <v>574</v>
      </c>
      <c r="E229">
        <v>28</v>
      </c>
      <c r="F229">
        <v>135.72</v>
      </c>
      <c r="G229" s="2">
        <v>38520.388796296298</v>
      </c>
      <c r="I229">
        <v>221</v>
      </c>
      <c r="J229">
        <v>529</v>
      </c>
      <c r="K229" t="s">
        <v>487</v>
      </c>
      <c r="L229" t="s">
        <v>488</v>
      </c>
      <c r="M229">
        <v>29</v>
      </c>
      <c r="N229">
        <v>118.71</v>
      </c>
      <c r="O229" s="2">
        <v>38520.388796296298</v>
      </c>
    </row>
    <row r="230" spans="1:15" x14ac:dyDescent="0.25">
      <c r="A230">
        <v>222</v>
      </c>
      <c r="B230">
        <v>92</v>
      </c>
      <c r="C230" t="s">
        <v>518</v>
      </c>
      <c r="D230" t="s">
        <v>519</v>
      </c>
      <c r="E230">
        <v>28</v>
      </c>
      <c r="F230">
        <v>133.72</v>
      </c>
      <c r="G230" s="2">
        <v>38498.681956018518</v>
      </c>
      <c r="I230">
        <v>222</v>
      </c>
      <c r="J230">
        <v>1</v>
      </c>
      <c r="K230" t="s">
        <v>233</v>
      </c>
      <c r="L230" t="s">
        <v>234</v>
      </c>
      <c r="M230">
        <v>32</v>
      </c>
      <c r="N230">
        <v>118.68</v>
      </c>
      <c r="O230" s="2">
        <v>38498.681956018518</v>
      </c>
    </row>
    <row r="231" spans="1:15" x14ac:dyDescent="0.25">
      <c r="A231">
        <v>223</v>
      </c>
      <c r="B231">
        <v>504</v>
      </c>
      <c r="C231" t="s">
        <v>569</v>
      </c>
      <c r="D231" t="s">
        <v>570</v>
      </c>
      <c r="E231">
        <v>28</v>
      </c>
      <c r="F231">
        <v>133.72</v>
      </c>
      <c r="G231" s="2">
        <v>38497.918402777781</v>
      </c>
      <c r="I231">
        <v>223</v>
      </c>
      <c r="J231">
        <v>442</v>
      </c>
      <c r="K231" t="s">
        <v>285</v>
      </c>
      <c r="L231" t="s">
        <v>286</v>
      </c>
      <c r="M231">
        <v>32</v>
      </c>
      <c r="N231">
        <v>118.68</v>
      </c>
      <c r="O231" s="2">
        <v>38497.918402777781</v>
      </c>
    </row>
    <row r="232" spans="1:15" x14ac:dyDescent="0.25">
      <c r="A232">
        <v>224</v>
      </c>
      <c r="B232">
        <v>221</v>
      </c>
      <c r="C232" t="s">
        <v>532</v>
      </c>
      <c r="D232" t="s">
        <v>533</v>
      </c>
      <c r="E232">
        <v>28</v>
      </c>
      <c r="F232">
        <v>132.72</v>
      </c>
      <c r="G232" s="2">
        <v>38498.447268518517</v>
      </c>
      <c r="I232">
        <v>224</v>
      </c>
      <c r="J232">
        <v>583</v>
      </c>
      <c r="K232" t="s">
        <v>166</v>
      </c>
      <c r="L232" t="s">
        <v>1006</v>
      </c>
      <c r="M232">
        <v>23</v>
      </c>
      <c r="N232">
        <v>117.77</v>
      </c>
      <c r="O232" s="2">
        <v>38498.447268518517</v>
      </c>
    </row>
    <row r="233" spans="1:15" x14ac:dyDescent="0.25">
      <c r="A233">
        <v>225</v>
      </c>
      <c r="B233">
        <v>49</v>
      </c>
      <c r="C233" t="s">
        <v>510</v>
      </c>
      <c r="D233" t="s">
        <v>511</v>
      </c>
      <c r="E233">
        <v>28</v>
      </c>
      <c r="F233">
        <v>130.72</v>
      </c>
      <c r="G233" s="2">
        <v>38497.689108796294</v>
      </c>
      <c r="I233">
        <v>225</v>
      </c>
      <c r="J233">
        <v>490</v>
      </c>
      <c r="K233" t="s">
        <v>900</v>
      </c>
      <c r="L233" t="s">
        <v>901</v>
      </c>
      <c r="M233">
        <v>24</v>
      </c>
      <c r="N233">
        <v>117.76</v>
      </c>
      <c r="O233" s="2">
        <v>38497.689108796294</v>
      </c>
    </row>
    <row r="234" spans="1:15" x14ac:dyDescent="0.25">
      <c r="A234">
        <v>226</v>
      </c>
      <c r="B234">
        <v>497</v>
      </c>
      <c r="C234" t="s">
        <v>216</v>
      </c>
      <c r="D234" t="s">
        <v>566</v>
      </c>
      <c r="E234">
        <v>28</v>
      </c>
      <c r="F234">
        <v>129.72</v>
      </c>
      <c r="G234" s="2">
        <v>38503.585659722223</v>
      </c>
      <c r="I234">
        <v>226</v>
      </c>
      <c r="J234">
        <v>585</v>
      </c>
      <c r="K234" t="s">
        <v>204</v>
      </c>
      <c r="L234" t="s">
        <v>920</v>
      </c>
      <c r="M234">
        <v>24</v>
      </c>
      <c r="N234">
        <v>117.76</v>
      </c>
      <c r="O234" s="2">
        <v>38503.585659722223</v>
      </c>
    </row>
    <row r="235" spans="1:15" x14ac:dyDescent="0.25">
      <c r="A235">
        <v>227</v>
      </c>
      <c r="B235">
        <v>589</v>
      </c>
      <c r="C235" t="s">
        <v>366</v>
      </c>
      <c r="D235" t="s">
        <v>579</v>
      </c>
      <c r="E235">
        <v>28</v>
      </c>
      <c r="F235">
        <v>129.72</v>
      </c>
      <c r="G235" s="2">
        <v>38500.224745370368</v>
      </c>
      <c r="I235">
        <v>227</v>
      </c>
      <c r="J235">
        <v>536</v>
      </c>
      <c r="K235" t="s">
        <v>837</v>
      </c>
      <c r="L235" t="s">
        <v>838</v>
      </c>
      <c r="M235">
        <v>25</v>
      </c>
      <c r="N235">
        <v>117.75</v>
      </c>
      <c r="O235" s="2">
        <v>38500.224745370368</v>
      </c>
    </row>
    <row r="236" spans="1:15" x14ac:dyDescent="0.25">
      <c r="A236">
        <v>228</v>
      </c>
      <c r="B236">
        <v>322</v>
      </c>
      <c r="C236" t="s">
        <v>548</v>
      </c>
      <c r="D236" t="s">
        <v>549</v>
      </c>
      <c r="E236">
        <v>28</v>
      </c>
      <c r="F236">
        <v>128.72</v>
      </c>
      <c r="G236" s="2">
        <v>38498.117488425924</v>
      </c>
      <c r="I236">
        <v>228</v>
      </c>
      <c r="J236">
        <v>240</v>
      </c>
      <c r="K236" t="s">
        <v>696</v>
      </c>
      <c r="L236" t="s">
        <v>697</v>
      </c>
      <c r="M236">
        <v>26</v>
      </c>
      <c r="N236">
        <v>117.74</v>
      </c>
      <c r="O236" s="2">
        <v>38498.117488425924</v>
      </c>
    </row>
    <row r="237" spans="1:15" x14ac:dyDescent="0.25">
      <c r="A237">
        <v>229</v>
      </c>
      <c r="B237">
        <v>284</v>
      </c>
      <c r="C237" t="s">
        <v>542</v>
      </c>
      <c r="D237" t="s">
        <v>543</v>
      </c>
      <c r="E237">
        <v>28</v>
      </c>
      <c r="F237">
        <v>126.72</v>
      </c>
      <c r="G237" s="2">
        <v>38499.647881944446</v>
      </c>
      <c r="I237">
        <v>229</v>
      </c>
      <c r="J237">
        <v>286</v>
      </c>
      <c r="K237" t="s">
        <v>622</v>
      </c>
      <c r="L237" t="s">
        <v>623</v>
      </c>
      <c r="M237">
        <v>27</v>
      </c>
      <c r="N237">
        <v>117.73</v>
      </c>
      <c r="O237" s="2">
        <v>38499.647881944446</v>
      </c>
    </row>
    <row r="238" spans="1:15" x14ac:dyDescent="0.25">
      <c r="A238">
        <v>230</v>
      </c>
      <c r="B238">
        <v>515</v>
      </c>
      <c r="C238" t="s">
        <v>571</v>
      </c>
      <c r="D238" t="s">
        <v>572</v>
      </c>
      <c r="E238">
        <v>28</v>
      </c>
      <c r="F238">
        <v>126.72</v>
      </c>
      <c r="G238" s="2">
        <v>38498.237928240742</v>
      </c>
      <c r="I238">
        <v>230</v>
      </c>
      <c r="J238">
        <v>577</v>
      </c>
      <c r="K238" t="s">
        <v>647</v>
      </c>
      <c r="L238" t="s">
        <v>648</v>
      </c>
      <c r="M238">
        <v>27</v>
      </c>
      <c r="N238">
        <v>117.73</v>
      </c>
      <c r="O238" s="2">
        <v>38498.237928240742</v>
      </c>
    </row>
    <row r="239" spans="1:15" x14ac:dyDescent="0.25">
      <c r="A239">
        <v>231</v>
      </c>
      <c r="B239">
        <v>400</v>
      </c>
      <c r="C239" t="s">
        <v>558</v>
      </c>
      <c r="D239" t="s">
        <v>559</v>
      </c>
      <c r="E239">
        <v>28</v>
      </c>
      <c r="F239">
        <v>124.72</v>
      </c>
      <c r="G239" s="2">
        <v>38497.67560185185</v>
      </c>
      <c r="I239">
        <v>231</v>
      </c>
      <c r="J239">
        <v>14</v>
      </c>
      <c r="K239" t="s">
        <v>506</v>
      </c>
      <c r="L239" t="s">
        <v>507</v>
      </c>
      <c r="M239">
        <v>28</v>
      </c>
      <c r="N239">
        <v>117.72</v>
      </c>
      <c r="O239" s="2">
        <v>38497.67560185185</v>
      </c>
    </row>
    <row r="240" spans="1:15" x14ac:dyDescent="0.25">
      <c r="A240">
        <v>232</v>
      </c>
      <c r="B240">
        <v>166</v>
      </c>
      <c r="C240" t="s">
        <v>526</v>
      </c>
      <c r="D240" t="s">
        <v>527</v>
      </c>
      <c r="E240">
        <v>28</v>
      </c>
      <c r="F240">
        <v>123.72</v>
      </c>
      <c r="G240" s="2">
        <v>38500.881608796299</v>
      </c>
      <c r="I240">
        <v>232</v>
      </c>
      <c r="J240">
        <v>126</v>
      </c>
      <c r="K240" t="s">
        <v>520</v>
      </c>
      <c r="L240" t="s">
        <v>521</v>
      </c>
      <c r="M240">
        <v>28</v>
      </c>
      <c r="N240">
        <v>117.72</v>
      </c>
      <c r="O240" s="2">
        <v>38500.881608796299</v>
      </c>
    </row>
    <row r="241" spans="1:15" x14ac:dyDescent="0.25">
      <c r="A241">
        <v>233</v>
      </c>
      <c r="B241">
        <v>276</v>
      </c>
      <c r="C241" t="s">
        <v>538</v>
      </c>
      <c r="D241" t="s">
        <v>539</v>
      </c>
      <c r="E241">
        <v>28</v>
      </c>
      <c r="F241">
        <v>122.72</v>
      </c>
      <c r="G241" s="2">
        <v>38501.340358796297</v>
      </c>
      <c r="I241">
        <v>233</v>
      </c>
      <c r="J241">
        <v>386</v>
      </c>
      <c r="K241" t="s">
        <v>471</v>
      </c>
      <c r="L241" t="s">
        <v>472</v>
      </c>
      <c r="M241">
        <v>29</v>
      </c>
      <c r="N241">
        <v>117.71</v>
      </c>
      <c r="O241" s="2">
        <v>38501.340358796297</v>
      </c>
    </row>
    <row r="242" spans="1:15" x14ac:dyDescent="0.25">
      <c r="A242">
        <v>234</v>
      </c>
      <c r="B242">
        <v>262</v>
      </c>
      <c r="C242" t="s">
        <v>534</v>
      </c>
      <c r="D242" t="s">
        <v>535</v>
      </c>
      <c r="E242">
        <v>28</v>
      </c>
      <c r="F242">
        <v>119.72</v>
      </c>
      <c r="G242" s="2">
        <v>38502.928668981483</v>
      </c>
      <c r="I242">
        <v>234</v>
      </c>
      <c r="J242">
        <v>538</v>
      </c>
      <c r="K242" t="s">
        <v>489</v>
      </c>
      <c r="L242" t="s">
        <v>490</v>
      </c>
      <c r="M242">
        <v>29</v>
      </c>
      <c r="N242">
        <v>117.71</v>
      </c>
      <c r="O242" s="2">
        <v>38502.928668981483</v>
      </c>
    </row>
    <row r="243" spans="1:15" x14ac:dyDescent="0.25">
      <c r="A243">
        <v>235</v>
      </c>
      <c r="B243">
        <v>16</v>
      </c>
      <c r="C243" t="s">
        <v>508</v>
      </c>
      <c r="D243" t="s">
        <v>509</v>
      </c>
      <c r="E243">
        <v>28</v>
      </c>
      <c r="F243">
        <v>118.72</v>
      </c>
      <c r="G243" s="2">
        <v>38499.129976851851</v>
      </c>
      <c r="I243">
        <v>235</v>
      </c>
      <c r="J243">
        <v>42</v>
      </c>
      <c r="K243" t="s">
        <v>351</v>
      </c>
      <c r="L243" t="s">
        <v>352</v>
      </c>
      <c r="M243">
        <v>30</v>
      </c>
      <c r="N243">
        <v>117.7</v>
      </c>
      <c r="O243" s="2">
        <v>38499.129976851851</v>
      </c>
    </row>
    <row r="244" spans="1:15" x14ac:dyDescent="0.25">
      <c r="A244">
        <v>236</v>
      </c>
      <c r="B244">
        <v>266</v>
      </c>
      <c r="C244" t="s">
        <v>536</v>
      </c>
      <c r="D244" t="s">
        <v>537</v>
      </c>
      <c r="E244">
        <v>28</v>
      </c>
      <c r="F244">
        <v>118.72</v>
      </c>
      <c r="G244" s="2">
        <v>38497.566805555558</v>
      </c>
      <c r="I244">
        <v>236</v>
      </c>
      <c r="J244">
        <v>595</v>
      </c>
      <c r="K244" t="s">
        <v>430</v>
      </c>
      <c r="L244" t="s">
        <v>431</v>
      </c>
      <c r="M244">
        <v>30</v>
      </c>
      <c r="N244">
        <v>117.7</v>
      </c>
      <c r="O244" s="2">
        <v>38497.566805555558</v>
      </c>
    </row>
    <row r="245" spans="1:15" x14ac:dyDescent="0.25">
      <c r="A245">
        <v>237</v>
      </c>
      <c r="B245">
        <v>332</v>
      </c>
      <c r="C245" t="s">
        <v>550</v>
      </c>
      <c r="D245" t="s">
        <v>551</v>
      </c>
      <c r="E245">
        <v>28</v>
      </c>
      <c r="F245">
        <v>118.72</v>
      </c>
      <c r="G245" s="2">
        <v>38500.589108796295</v>
      </c>
      <c r="I245">
        <v>237</v>
      </c>
      <c r="J245">
        <v>321</v>
      </c>
      <c r="K245" t="s">
        <v>1034</v>
      </c>
      <c r="L245" t="s">
        <v>1035</v>
      </c>
      <c r="M245">
        <v>22</v>
      </c>
      <c r="N245">
        <v>116.78</v>
      </c>
      <c r="O245" s="2">
        <v>38500.589108796295</v>
      </c>
    </row>
    <row r="246" spans="1:15" x14ac:dyDescent="0.25">
      <c r="A246">
        <v>238</v>
      </c>
      <c r="B246">
        <v>14</v>
      </c>
      <c r="C246" t="s">
        <v>506</v>
      </c>
      <c r="D246" t="s">
        <v>507</v>
      </c>
      <c r="E246">
        <v>28</v>
      </c>
      <c r="F246">
        <v>117.72</v>
      </c>
      <c r="G246" s="2">
        <v>38498.026018518518</v>
      </c>
      <c r="I246">
        <v>238</v>
      </c>
      <c r="J246">
        <v>432</v>
      </c>
      <c r="K246" t="s">
        <v>988</v>
      </c>
      <c r="L246" t="s">
        <v>989</v>
      </c>
      <c r="M246">
        <v>23</v>
      </c>
      <c r="N246">
        <v>116.77</v>
      </c>
      <c r="O246" s="2">
        <v>38498.026018518518</v>
      </c>
    </row>
    <row r="247" spans="1:15" x14ac:dyDescent="0.25">
      <c r="A247">
        <v>239</v>
      </c>
      <c r="B247">
        <v>126</v>
      </c>
      <c r="C247" t="s">
        <v>520</v>
      </c>
      <c r="D247" t="s">
        <v>521</v>
      </c>
      <c r="E247">
        <v>28</v>
      </c>
      <c r="F247">
        <v>117.72</v>
      </c>
      <c r="G247" s="2">
        <v>38497.000462962962</v>
      </c>
      <c r="I247">
        <v>239</v>
      </c>
      <c r="J247">
        <v>408</v>
      </c>
      <c r="K247" t="s">
        <v>410</v>
      </c>
      <c r="L247" t="s">
        <v>411</v>
      </c>
      <c r="M247">
        <v>30</v>
      </c>
      <c r="N247">
        <v>116.7</v>
      </c>
      <c r="O247" s="2">
        <v>38497.000462962962</v>
      </c>
    </row>
    <row r="248" spans="1:15" x14ac:dyDescent="0.25">
      <c r="A248">
        <v>240</v>
      </c>
      <c r="B248">
        <v>500</v>
      </c>
      <c r="C248" t="s">
        <v>567</v>
      </c>
      <c r="D248" t="s">
        <v>568</v>
      </c>
      <c r="E248">
        <v>28</v>
      </c>
      <c r="F248">
        <v>115.72</v>
      </c>
      <c r="G248" s="2">
        <v>38497.789861111109</v>
      </c>
      <c r="I248">
        <v>240</v>
      </c>
      <c r="J248">
        <v>214</v>
      </c>
      <c r="K248" t="s">
        <v>315</v>
      </c>
      <c r="L248" t="s">
        <v>316</v>
      </c>
      <c r="M248">
        <v>31</v>
      </c>
      <c r="N248">
        <v>116.69</v>
      </c>
      <c r="O248" s="2">
        <v>38497.789861111109</v>
      </c>
    </row>
    <row r="249" spans="1:15" x14ac:dyDescent="0.25">
      <c r="A249">
        <v>241</v>
      </c>
      <c r="B249">
        <v>57</v>
      </c>
      <c r="C249" t="s">
        <v>512</v>
      </c>
      <c r="D249" t="s">
        <v>513</v>
      </c>
      <c r="E249">
        <v>28</v>
      </c>
      <c r="F249">
        <v>114.72</v>
      </c>
      <c r="G249" s="2">
        <v>38498.028587962966</v>
      </c>
      <c r="I249">
        <v>241</v>
      </c>
      <c r="J249">
        <v>446</v>
      </c>
      <c r="K249" t="s">
        <v>339</v>
      </c>
      <c r="L249" t="s">
        <v>340</v>
      </c>
      <c r="M249">
        <v>31</v>
      </c>
      <c r="N249">
        <v>116.69</v>
      </c>
      <c r="O249" s="2">
        <v>38498.028587962966</v>
      </c>
    </row>
    <row r="250" spans="1:15" x14ac:dyDescent="0.25">
      <c r="A250">
        <v>242</v>
      </c>
      <c r="B250">
        <v>317</v>
      </c>
      <c r="C250" t="s">
        <v>546</v>
      </c>
      <c r="D250" t="s">
        <v>547</v>
      </c>
      <c r="E250">
        <v>28</v>
      </c>
      <c r="F250">
        <v>114.72</v>
      </c>
      <c r="G250" s="2">
        <v>38497.769548611112</v>
      </c>
      <c r="I250">
        <v>242</v>
      </c>
      <c r="J250">
        <v>254</v>
      </c>
      <c r="K250" t="s">
        <v>265</v>
      </c>
      <c r="L250" t="s">
        <v>266</v>
      </c>
      <c r="M250">
        <v>32</v>
      </c>
      <c r="N250">
        <v>116.68</v>
      </c>
      <c r="O250" s="2">
        <v>38497.769548611112</v>
      </c>
    </row>
    <row r="251" spans="1:15" x14ac:dyDescent="0.25">
      <c r="A251">
        <v>243</v>
      </c>
      <c r="B251">
        <v>338</v>
      </c>
      <c r="C251" t="s">
        <v>552</v>
      </c>
      <c r="D251" t="s">
        <v>553</v>
      </c>
      <c r="E251">
        <v>28</v>
      </c>
      <c r="F251">
        <v>114.72</v>
      </c>
      <c r="G251" s="2">
        <v>38500.932453703703</v>
      </c>
      <c r="I251">
        <v>243</v>
      </c>
      <c r="J251">
        <v>304</v>
      </c>
      <c r="K251" t="s">
        <v>710</v>
      </c>
      <c r="L251" t="s">
        <v>711</v>
      </c>
      <c r="M251">
        <v>26</v>
      </c>
      <c r="N251">
        <v>115.74</v>
      </c>
      <c r="O251" s="2">
        <v>38500.932453703703</v>
      </c>
    </row>
    <row r="252" spans="1:15" x14ac:dyDescent="0.25">
      <c r="A252">
        <v>244</v>
      </c>
      <c r="B252">
        <v>457</v>
      </c>
      <c r="C252" t="s">
        <v>562</v>
      </c>
      <c r="D252" t="s">
        <v>563</v>
      </c>
      <c r="E252">
        <v>28</v>
      </c>
      <c r="F252">
        <v>114.72</v>
      </c>
      <c r="G252" s="2">
        <v>38503.146053240744</v>
      </c>
      <c r="I252">
        <v>244</v>
      </c>
      <c r="J252">
        <v>512</v>
      </c>
      <c r="K252" t="s">
        <v>747</v>
      </c>
      <c r="L252" t="s">
        <v>748</v>
      </c>
      <c r="M252">
        <v>26</v>
      </c>
      <c r="N252">
        <v>115.74</v>
      </c>
      <c r="O252" s="2">
        <v>38503.146053240744</v>
      </c>
    </row>
    <row r="253" spans="1:15" x14ac:dyDescent="0.25">
      <c r="A253">
        <v>245</v>
      </c>
      <c r="B253">
        <v>441</v>
      </c>
      <c r="C253" t="s">
        <v>560</v>
      </c>
      <c r="D253" t="s">
        <v>561</v>
      </c>
      <c r="E253">
        <v>28</v>
      </c>
      <c r="F253">
        <v>112.72</v>
      </c>
      <c r="G253" s="2">
        <v>38501.902511574073</v>
      </c>
      <c r="I253">
        <v>245</v>
      </c>
      <c r="J253">
        <v>58</v>
      </c>
      <c r="K253" t="s">
        <v>592</v>
      </c>
      <c r="L253" t="s">
        <v>593</v>
      </c>
      <c r="M253">
        <v>27</v>
      </c>
      <c r="N253">
        <v>115.73</v>
      </c>
      <c r="O253" s="2">
        <v>38501.902511574073</v>
      </c>
    </row>
    <row r="254" spans="1:15" x14ac:dyDescent="0.25">
      <c r="A254">
        <v>246</v>
      </c>
      <c r="B254">
        <v>213</v>
      </c>
      <c r="C254" t="s">
        <v>530</v>
      </c>
      <c r="D254" t="s">
        <v>531</v>
      </c>
      <c r="E254">
        <v>28</v>
      </c>
      <c r="F254">
        <v>111.72</v>
      </c>
      <c r="G254" s="2">
        <v>38499.432928240742</v>
      </c>
      <c r="I254">
        <v>246</v>
      </c>
      <c r="J254">
        <v>500</v>
      </c>
      <c r="K254" t="s">
        <v>567</v>
      </c>
      <c r="L254" t="s">
        <v>568</v>
      </c>
      <c r="M254">
        <v>28</v>
      </c>
      <c r="N254">
        <v>115.72</v>
      </c>
      <c r="O254" s="2">
        <v>38499.432928240742</v>
      </c>
    </row>
    <row r="255" spans="1:15" x14ac:dyDescent="0.25">
      <c r="A255">
        <v>247</v>
      </c>
      <c r="B255">
        <v>90</v>
      </c>
      <c r="C255" t="s">
        <v>516</v>
      </c>
      <c r="D255" t="s">
        <v>517</v>
      </c>
      <c r="E255">
        <v>28</v>
      </c>
      <c r="F255">
        <v>110.72</v>
      </c>
      <c r="G255" s="2">
        <v>38520.558831018519</v>
      </c>
      <c r="I255">
        <v>247</v>
      </c>
      <c r="J255">
        <v>25</v>
      </c>
      <c r="K255" t="s">
        <v>432</v>
      </c>
      <c r="L255" t="s">
        <v>433</v>
      </c>
      <c r="M255">
        <v>29</v>
      </c>
      <c r="N255">
        <v>115.71</v>
      </c>
      <c r="O255" s="2">
        <v>38520.558831018519</v>
      </c>
    </row>
    <row r="256" spans="1:15" x14ac:dyDescent="0.25">
      <c r="A256">
        <v>248</v>
      </c>
      <c r="B256">
        <v>376</v>
      </c>
      <c r="C256" t="s">
        <v>556</v>
      </c>
      <c r="D256" t="s">
        <v>557</v>
      </c>
      <c r="E256">
        <v>28</v>
      </c>
      <c r="F256">
        <v>110.72</v>
      </c>
      <c r="G256" s="2">
        <v>38500.349490740744</v>
      </c>
      <c r="I256">
        <v>248</v>
      </c>
      <c r="J256">
        <v>287</v>
      </c>
      <c r="K256" t="s">
        <v>459</v>
      </c>
      <c r="L256" t="s">
        <v>460</v>
      </c>
      <c r="M256">
        <v>29</v>
      </c>
      <c r="N256">
        <v>115.71</v>
      </c>
      <c r="O256" s="2">
        <v>38500.349490740744</v>
      </c>
    </row>
    <row r="257" spans="1:15" x14ac:dyDescent="0.25">
      <c r="A257">
        <v>249</v>
      </c>
      <c r="B257">
        <v>559</v>
      </c>
      <c r="C257" t="s">
        <v>575</v>
      </c>
      <c r="D257" t="s">
        <v>576</v>
      </c>
      <c r="E257">
        <v>28</v>
      </c>
      <c r="F257">
        <v>110.72</v>
      </c>
      <c r="G257" s="2">
        <v>38522.190451388888</v>
      </c>
      <c r="I257">
        <v>249</v>
      </c>
      <c r="J257">
        <v>481</v>
      </c>
      <c r="K257" t="s">
        <v>481</v>
      </c>
      <c r="L257" t="s">
        <v>482</v>
      </c>
      <c r="M257">
        <v>29</v>
      </c>
      <c r="N257">
        <v>115.71</v>
      </c>
      <c r="O257" s="2">
        <v>38522.190451388888</v>
      </c>
    </row>
    <row r="258" spans="1:15" x14ac:dyDescent="0.25">
      <c r="A258">
        <v>250</v>
      </c>
      <c r="B258">
        <v>290</v>
      </c>
      <c r="C258" t="s">
        <v>544</v>
      </c>
      <c r="D258" t="s">
        <v>545</v>
      </c>
      <c r="E258">
        <v>28</v>
      </c>
      <c r="F258">
        <v>109.72</v>
      </c>
      <c r="G258" s="2">
        <v>38498.073842592596</v>
      </c>
      <c r="I258">
        <v>250</v>
      </c>
      <c r="J258">
        <v>485</v>
      </c>
      <c r="K258" t="s">
        <v>485</v>
      </c>
      <c r="L258" t="s">
        <v>486</v>
      </c>
      <c r="M258">
        <v>29</v>
      </c>
      <c r="N258">
        <v>115.71</v>
      </c>
      <c r="O258" s="2">
        <v>38498.073842592596</v>
      </c>
    </row>
    <row r="259" spans="1:15" x14ac:dyDescent="0.25">
      <c r="A259">
        <v>251</v>
      </c>
      <c r="B259">
        <v>574</v>
      </c>
      <c r="C259" t="s">
        <v>577</v>
      </c>
      <c r="D259" t="s">
        <v>578</v>
      </c>
      <c r="E259">
        <v>28</v>
      </c>
      <c r="F259">
        <v>109.72</v>
      </c>
      <c r="G259" s="2">
        <v>38499.694907407407</v>
      </c>
      <c r="I259">
        <v>251</v>
      </c>
      <c r="J259">
        <v>588</v>
      </c>
      <c r="K259" t="s">
        <v>57</v>
      </c>
      <c r="L259" t="s">
        <v>499</v>
      </c>
      <c r="M259">
        <v>29</v>
      </c>
      <c r="N259">
        <v>115.71</v>
      </c>
      <c r="O259" s="2">
        <v>38499.694907407407</v>
      </c>
    </row>
    <row r="260" spans="1:15" x14ac:dyDescent="0.25">
      <c r="A260">
        <v>252</v>
      </c>
      <c r="B260">
        <v>145</v>
      </c>
      <c r="C260" t="s">
        <v>524</v>
      </c>
      <c r="D260" t="s">
        <v>525</v>
      </c>
      <c r="E260">
        <v>28</v>
      </c>
      <c r="F260">
        <v>108.72</v>
      </c>
      <c r="G260" s="2">
        <v>38500.045428240737</v>
      </c>
      <c r="I260">
        <v>252</v>
      </c>
      <c r="J260">
        <v>20</v>
      </c>
      <c r="K260" t="s">
        <v>347</v>
      </c>
      <c r="L260" t="s">
        <v>348</v>
      </c>
      <c r="M260">
        <v>30</v>
      </c>
      <c r="N260">
        <v>115.7</v>
      </c>
      <c r="O260" s="2">
        <v>38500.045428240737</v>
      </c>
    </row>
    <row r="261" spans="1:15" x14ac:dyDescent="0.25">
      <c r="A261">
        <v>253</v>
      </c>
      <c r="B261">
        <v>12</v>
      </c>
      <c r="C261" t="s">
        <v>504</v>
      </c>
      <c r="D261" t="s">
        <v>505</v>
      </c>
      <c r="E261">
        <v>28</v>
      </c>
      <c r="F261">
        <v>103.72</v>
      </c>
      <c r="G261" s="2">
        <v>38502.963923611111</v>
      </c>
      <c r="I261">
        <v>253</v>
      </c>
      <c r="J261">
        <v>53</v>
      </c>
      <c r="K261" t="s">
        <v>353</v>
      </c>
      <c r="L261" t="s">
        <v>195</v>
      </c>
      <c r="M261">
        <v>30</v>
      </c>
      <c r="N261">
        <v>115.7</v>
      </c>
      <c r="O261" s="2">
        <v>38502.963923611111</v>
      </c>
    </row>
    <row r="262" spans="1:15" x14ac:dyDescent="0.25">
      <c r="A262">
        <v>254</v>
      </c>
      <c r="B262">
        <v>374</v>
      </c>
      <c r="C262" t="s">
        <v>554</v>
      </c>
      <c r="D262" t="s">
        <v>555</v>
      </c>
      <c r="E262">
        <v>28</v>
      </c>
      <c r="F262">
        <v>103.72</v>
      </c>
      <c r="G262" s="2">
        <v>38500.147476851853</v>
      </c>
      <c r="I262">
        <v>254</v>
      </c>
      <c r="J262">
        <v>444</v>
      </c>
      <c r="K262" t="s">
        <v>418</v>
      </c>
      <c r="L262" t="s">
        <v>419</v>
      </c>
      <c r="M262">
        <v>30</v>
      </c>
      <c r="N262">
        <v>115.7</v>
      </c>
      <c r="O262" s="2">
        <v>38500.147476851853</v>
      </c>
    </row>
    <row r="263" spans="1:15" x14ac:dyDescent="0.25">
      <c r="A263">
        <v>255</v>
      </c>
      <c r="B263">
        <v>77</v>
      </c>
      <c r="C263" t="s">
        <v>514</v>
      </c>
      <c r="D263" t="s">
        <v>515</v>
      </c>
      <c r="E263">
        <v>28</v>
      </c>
      <c r="F263">
        <v>100.72</v>
      </c>
      <c r="G263" s="2">
        <v>38498.99459490741</v>
      </c>
      <c r="I263">
        <v>255</v>
      </c>
      <c r="J263">
        <v>503</v>
      </c>
      <c r="K263" t="s">
        <v>291</v>
      </c>
      <c r="L263" t="s">
        <v>292</v>
      </c>
      <c r="M263">
        <v>32</v>
      </c>
      <c r="N263">
        <v>115.68</v>
      </c>
      <c r="O263" s="2">
        <v>38498.99459490741</v>
      </c>
    </row>
    <row r="264" spans="1:15" x14ac:dyDescent="0.25">
      <c r="A264">
        <v>256</v>
      </c>
      <c r="B264">
        <v>580</v>
      </c>
      <c r="C264" t="s">
        <v>361</v>
      </c>
      <c r="D264" t="s">
        <v>651</v>
      </c>
      <c r="E264">
        <v>27</v>
      </c>
      <c r="F264">
        <v>99.73</v>
      </c>
      <c r="G264" s="2">
        <v>38500.637708333335</v>
      </c>
      <c r="I264">
        <v>256</v>
      </c>
      <c r="J264">
        <v>427</v>
      </c>
      <c r="K264" t="s">
        <v>894</v>
      </c>
      <c r="L264" t="s">
        <v>895</v>
      </c>
      <c r="M264">
        <v>24</v>
      </c>
      <c r="N264">
        <v>114.76</v>
      </c>
      <c r="O264" s="2">
        <v>38500.637708333335</v>
      </c>
    </row>
    <row r="265" spans="1:15" x14ac:dyDescent="0.25">
      <c r="A265">
        <v>257</v>
      </c>
      <c r="B265">
        <v>133</v>
      </c>
      <c r="C265" t="s">
        <v>601</v>
      </c>
      <c r="D265" t="s">
        <v>602</v>
      </c>
      <c r="E265">
        <v>27</v>
      </c>
      <c r="F265">
        <v>98.73</v>
      </c>
      <c r="G265" s="2">
        <v>38498.715196759258</v>
      </c>
      <c r="I265">
        <v>257</v>
      </c>
      <c r="J265">
        <v>343</v>
      </c>
      <c r="K265" t="s">
        <v>89</v>
      </c>
      <c r="L265" t="s">
        <v>806</v>
      </c>
      <c r="M265">
        <v>25</v>
      </c>
      <c r="N265">
        <v>114.75</v>
      </c>
      <c r="O265" s="2">
        <v>38498.715196759258</v>
      </c>
    </row>
    <row r="266" spans="1:15" x14ac:dyDescent="0.25">
      <c r="A266">
        <v>258</v>
      </c>
      <c r="B266">
        <v>498</v>
      </c>
      <c r="C266" t="s">
        <v>643</v>
      </c>
      <c r="D266" t="s">
        <v>644</v>
      </c>
      <c r="E266">
        <v>27</v>
      </c>
      <c r="F266">
        <v>97.73</v>
      </c>
      <c r="G266" s="2">
        <v>38497.277488425927</v>
      </c>
      <c r="I266">
        <v>258</v>
      </c>
      <c r="J266">
        <v>44</v>
      </c>
      <c r="K266" t="s">
        <v>662</v>
      </c>
      <c r="L266" t="s">
        <v>663</v>
      </c>
      <c r="M266">
        <v>26</v>
      </c>
      <c r="N266">
        <v>114.74</v>
      </c>
      <c r="O266" s="2">
        <v>38497.277488425927</v>
      </c>
    </row>
    <row r="267" spans="1:15" x14ac:dyDescent="0.25">
      <c r="A267">
        <v>259</v>
      </c>
      <c r="B267">
        <v>561</v>
      </c>
      <c r="C267" t="s">
        <v>645</v>
      </c>
      <c r="D267" t="s">
        <v>646</v>
      </c>
      <c r="E267">
        <v>27</v>
      </c>
      <c r="F267">
        <v>96.73</v>
      </c>
      <c r="G267" s="2">
        <v>38502.412222222221</v>
      </c>
      <c r="I267">
        <v>259</v>
      </c>
      <c r="J267">
        <v>171</v>
      </c>
      <c r="K267" t="s">
        <v>679</v>
      </c>
      <c r="L267" t="s">
        <v>680</v>
      </c>
      <c r="M267">
        <v>26</v>
      </c>
      <c r="N267">
        <v>114.74</v>
      </c>
      <c r="O267" s="2">
        <v>38502.412222222221</v>
      </c>
    </row>
    <row r="268" spans="1:15" x14ac:dyDescent="0.25">
      <c r="A268">
        <v>260</v>
      </c>
      <c r="B268">
        <v>36</v>
      </c>
      <c r="C268" t="s">
        <v>586</v>
      </c>
      <c r="D268" t="s">
        <v>587</v>
      </c>
      <c r="E268">
        <v>27</v>
      </c>
      <c r="F268">
        <v>92.73</v>
      </c>
      <c r="G268" s="2">
        <v>38499.203599537039</v>
      </c>
      <c r="I268">
        <v>260</v>
      </c>
      <c r="J268">
        <v>220</v>
      </c>
      <c r="K268" t="s">
        <v>615</v>
      </c>
      <c r="L268" t="s">
        <v>616</v>
      </c>
      <c r="M268">
        <v>27</v>
      </c>
      <c r="N268">
        <v>114.73</v>
      </c>
      <c r="O268" s="2">
        <v>38499.203599537039</v>
      </c>
    </row>
    <row r="269" spans="1:15" x14ac:dyDescent="0.25">
      <c r="A269">
        <v>261</v>
      </c>
      <c r="B269">
        <v>151</v>
      </c>
      <c r="C269" t="s">
        <v>605</v>
      </c>
      <c r="D269" t="s">
        <v>606</v>
      </c>
      <c r="E269">
        <v>27</v>
      </c>
      <c r="F269">
        <v>92.73</v>
      </c>
      <c r="G269" s="2">
        <v>38498.101956018516</v>
      </c>
      <c r="I269">
        <v>261</v>
      </c>
      <c r="J269">
        <v>57</v>
      </c>
      <c r="K269" t="s">
        <v>512</v>
      </c>
      <c r="L269" t="s">
        <v>513</v>
      </c>
      <c r="M269">
        <v>28</v>
      </c>
      <c r="N269">
        <v>114.72</v>
      </c>
      <c r="O269" s="2">
        <v>38498.101956018516</v>
      </c>
    </row>
    <row r="270" spans="1:15" x14ac:dyDescent="0.25">
      <c r="A270">
        <v>262</v>
      </c>
      <c r="B270">
        <v>228</v>
      </c>
      <c r="C270" t="s">
        <v>617</v>
      </c>
      <c r="D270" t="s">
        <v>408</v>
      </c>
      <c r="E270">
        <v>27</v>
      </c>
      <c r="F270">
        <v>92.73</v>
      </c>
      <c r="G270" s="2">
        <v>38500.017337962963</v>
      </c>
      <c r="I270">
        <v>262</v>
      </c>
      <c r="J270">
        <v>317</v>
      </c>
      <c r="K270" t="s">
        <v>546</v>
      </c>
      <c r="L270" t="s">
        <v>547</v>
      </c>
      <c r="M270">
        <v>28</v>
      </c>
      <c r="N270">
        <v>114.72</v>
      </c>
      <c r="O270" s="2">
        <v>38500.017337962963</v>
      </c>
    </row>
    <row r="271" spans="1:15" x14ac:dyDescent="0.25">
      <c r="A271">
        <v>263</v>
      </c>
      <c r="B271">
        <v>200</v>
      </c>
      <c r="C271" t="s">
        <v>611</v>
      </c>
      <c r="D271" t="s">
        <v>612</v>
      </c>
      <c r="E271">
        <v>27</v>
      </c>
      <c r="F271">
        <v>136.72999999999999</v>
      </c>
      <c r="G271" s="2">
        <v>38498.681203703702</v>
      </c>
      <c r="I271">
        <v>263</v>
      </c>
      <c r="J271">
        <v>338</v>
      </c>
      <c r="K271" t="s">
        <v>552</v>
      </c>
      <c r="L271" t="s">
        <v>553</v>
      </c>
      <c r="M271">
        <v>28</v>
      </c>
      <c r="N271">
        <v>114.72</v>
      </c>
      <c r="O271" s="2">
        <v>38498.681203703702</v>
      </c>
    </row>
    <row r="272" spans="1:15" x14ac:dyDescent="0.25">
      <c r="A272">
        <v>264</v>
      </c>
      <c r="B272">
        <v>591</v>
      </c>
      <c r="C272" t="s">
        <v>654</v>
      </c>
      <c r="D272" t="s">
        <v>655</v>
      </c>
      <c r="E272">
        <v>27</v>
      </c>
      <c r="F272">
        <v>134.72999999999999</v>
      </c>
      <c r="G272" s="2">
        <v>38518.744062500002</v>
      </c>
      <c r="I272">
        <v>264</v>
      </c>
      <c r="J272">
        <v>457</v>
      </c>
      <c r="K272" t="s">
        <v>562</v>
      </c>
      <c r="L272" t="s">
        <v>563</v>
      </c>
      <c r="M272">
        <v>28</v>
      </c>
      <c r="N272">
        <v>114.72</v>
      </c>
      <c r="O272" s="2">
        <v>38518.744062500002</v>
      </c>
    </row>
    <row r="273" spans="1:15" x14ac:dyDescent="0.25">
      <c r="A273">
        <v>265</v>
      </c>
      <c r="B273">
        <v>59</v>
      </c>
      <c r="C273" t="s">
        <v>594</v>
      </c>
      <c r="D273" t="s">
        <v>595</v>
      </c>
      <c r="E273">
        <v>27</v>
      </c>
      <c r="F273">
        <v>133.72999999999999</v>
      </c>
      <c r="G273" s="2">
        <v>38498.357418981483</v>
      </c>
      <c r="I273">
        <v>265</v>
      </c>
      <c r="J273">
        <v>186</v>
      </c>
      <c r="K273" t="s">
        <v>311</v>
      </c>
      <c r="L273" t="s">
        <v>312</v>
      </c>
      <c r="M273">
        <v>31</v>
      </c>
      <c r="N273">
        <v>114.69</v>
      </c>
      <c r="O273" s="2">
        <v>38498.357418981483</v>
      </c>
    </row>
    <row r="274" spans="1:15" x14ac:dyDescent="0.25">
      <c r="A274">
        <v>266</v>
      </c>
      <c r="B274">
        <v>13</v>
      </c>
      <c r="C274" t="s">
        <v>584</v>
      </c>
      <c r="D274" t="s">
        <v>585</v>
      </c>
      <c r="E274">
        <v>27</v>
      </c>
      <c r="F274">
        <v>131.72999999999999</v>
      </c>
      <c r="G274" s="2">
        <v>38520.287986111114</v>
      </c>
      <c r="I274">
        <v>266</v>
      </c>
      <c r="J274">
        <v>323</v>
      </c>
      <c r="K274" t="s">
        <v>329</v>
      </c>
      <c r="L274" t="s">
        <v>330</v>
      </c>
      <c r="M274">
        <v>31</v>
      </c>
      <c r="N274">
        <v>114.69</v>
      </c>
      <c r="O274" s="2">
        <v>38520.287986111114</v>
      </c>
    </row>
    <row r="275" spans="1:15" x14ac:dyDescent="0.25">
      <c r="A275">
        <v>267</v>
      </c>
      <c r="B275">
        <v>594</v>
      </c>
      <c r="C275" t="s">
        <v>656</v>
      </c>
      <c r="D275" t="s">
        <v>657</v>
      </c>
      <c r="E275">
        <v>27</v>
      </c>
      <c r="F275">
        <v>130.72999999999999</v>
      </c>
      <c r="G275" s="2">
        <v>38498.955775462964</v>
      </c>
      <c r="I275">
        <v>267</v>
      </c>
      <c r="J275">
        <v>22</v>
      </c>
      <c r="K275" t="s">
        <v>1011</v>
      </c>
      <c r="L275" t="s">
        <v>1012</v>
      </c>
      <c r="M275">
        <v>22</v>
      </c>
      <c r="N275">
        <v>113.78</v>
      </c>
      <c r="O275" s="2">
        <v>38498.955775462964</v>
      </c>
    </row>
    <row r="276" spans="1:15" x14ac:dyDescent="0.25">
      <c r="A276">
        <v>268</v>
      </c>
      <c r="B276">
        <v>2</v>
      </c>
      <c r="C276" t="s">
        <v>582</v>
      </c>
      <c r="D276" t="s">
        <v>583</v>
      </c>
      <c r="E276">
        <v>27</v>
      </c>
      <c r="F276">
        <v>128.72999999999999</v>
      </c>
      <c r="G276" s="2">
        <v>38499.006527777776</v>
      </c>
      <c r="I276">
        <v>268</v>
      </c>
      <c r="J276">
        <v>582</v>
      </c>
      <c r="K276" t="s">
        <v>846</v>
      </c>
      <c r="L276" t="s">
        <v>847</v>
      </c>
      <c r="M276">
        <v>25</v>
      </c>
      <c r="N276">
        <v>113.75</v>
      </c>
      <c r="O276" s="2">
        <v>38499.006527777776</v>
      </c>
    </row>
    <row r="277" spans="1:15" x14ac:dyDescent="0.25">
      <c r="A277">
        <v>269</v>
      </c>
      <c r="B277">
        <v>434</v>
      </c>
      <c r="C277" t="s">
        <v>638</v>
      </c>
      <c r="D277" t="s">
        <v>639</v>
      </c>
      <c r="E277">
        <v>27</v>
      </c>
      <c r="F277">
        <v>128.72999999999999</v>
      </c>
      <c r="G277" s="2">
        <v>38500.111689814818</v>
      </c>
      <c r="I277">
        <v>269</v>
      </c>
      <c r="J277">
        <v>294</v>
      </c>
      <c r="K277" t="s">
        <v>704</v>
      </c>
      <c r="L277" t="s">
        <v>705</v>
      </c>
      <c r="M277">
        <v>26</v>
      </c>
      <c r="N277">
        <v>113.74</v>
      </c>
      <c r="O277" s="2">
        <v>38500.111689814818</v>
      </c>
    </row>
    <row r="278" spans="1:15" x14ac:dyDescent="0.25">
      <c r="A278">
        <v>270</v>
      </c>
      <c r="B278">
        <v>45</v>
      </c>
      <c r="C278" t="s">
        <v>590</v>
      </c>
      <c r="D278" t="s">
        <v>591</v>
      </c>
      <c r="E278">
        <v>27</v>
      </c>
      <c r="F278">
        <v>127.73</v>
      </c>
      <c r="G278" s="2">
        <v>38498.730682870373</v>
      </c>
      <c r="I278">
        <v>270</v>
      </c>
      <c r="J278">
        <v>486</v>
      </c>
      <c r="K278" t="s">
        <v>739</v>
      </c>
      <c r="L278" t="s">
        <v>740</v>
      </c>
      <c r="M278">
        <v>26</v>
      </c>
      <c r="N278">
        <v>113.74</v>
      </c>
      <c r="O278" s="2">
        <v>38498.730682870373</v>
      </c>
    </row>
    <row r="279" spans="1:15" x14ac:dyDescent="0.25">
      <c r="A279">
        <v>271</v>
      </c>
      <c r="B279">
        <v>206</v>
      </c>
      <c r="C279" t="s">
        <v>613</v>
      </c>
      <c r="D279" t="s">
        <v>614</v>
      </c>
      <c r="E279">
        <v>27</v>
      </c>
      <c r="F279">
        <v>126.73</v>
      </c>
      <c r="G279" s="2">
        <v>38520.102118055554</v>
      </c>
      <c r="I279">
        <v>271</v>
      </c>
      <c r="J279">
        <v>593</v>
      </c>
      <c r="K279" t="s">
        <v>759</v>
      </c>
      <c r="L279" t="s">
        <v>760</v>
      </c>
      <c r="M279">
        <v>26</v>
      </c>
      <c r="N279">
        <v>113.74</v>
      </c>
      <c r="O279" s="2">
        <v>38520.102118055554</v>
      </c>
    </row>
    <row r="280" spans="1:15" x14ac:dyDescent="0.25">
      <c r="A280">
        <v>272</v>
      </c>
      <c r="B280">
        <v>426</v>
      </c>
      <c r="C280" t="s">
        <v>176</v>
      </c>
      <c r="D280" t="s">
        <v>637</v>
      </c>
      <c r="E280">
        <v>27</v>
      </c>
      <c r="F280">
        <v>126.73</v>
      </c>
      <c r="G280" s="2">
        <v>38500.6091087963</v>
      </c>
      <c r="I280">
        <v>272</v>
      </c>
      <c r="J280">
        <v>139</v>
      </c>
      <c r="K280" t="s">
        <v>603</v>
      </c>
      <c r="L280" t="s">
        <v>604</v>
      </c>
      <c r="M280">
        <v>27</v>
      </c>
      <c r="N280">
        <v>113.73</v>
      </c>
      <c r="O280" s="2">
        <v>38500.6091087963</v>
      </c>
    </row>
    <row r="281" spans="1:15" x14ac:dyDescent="0.25">
      <c r="A281">
        <v>273</v>
      </c>
      <c r="B281">
        <v>491</v>
      </c>
      <c r="C281" t="s">
        <v>641</v>
      </c>
      <c r="D281" t="s">
        <v>642</v>
      </c>
      <c r="E281">
        <v>27</v>
      </c>
      <c r="F281">
        <v>124.73</v>
      </c>
      <c r="G281" s="2">
        <v>38499.976909722223</v>
      </c>
      <c r="I281">
        <v>273</v>
      </c>
      <c r="J281">
        <v>113</v>
      </c>
      <c r="K281" t="s">
        <v>442</v>
      </c>
      <c r="L281" t="s">
        <v>443</v>
      </c>
      <c r="M281">
        <v>29</v>
      </c>
      <c r="N281">
        <v>113.71</v>
      </c>
      <c r="O281" s="2">
        <v>38499.976909722223</v>
      </c>
    </row>
    <row r="282" spans="1:15" x14ac:dyDescent="0.25">
      <c r="A282">
        <v>274</v>
      </c>
      <c r="B282">
        <v>331</v>
      </c>
      <c r="C282" t="s">
        <v>626</v>
      </c>
      <c r="D282" t="s">
        <v>627</v>
      </c>
      <c r="E282">
        <v>27</v>
      </c>
      <c r="F282">
        <v>122.73</v>
      </c>
      <c r="G282" s="2">
        <v>38497.578275462962</v>
      </c>
      <c r="I282">
        <v>274</v>
      </c>
      <c r="J282">
        <v>447</v>
      </c>
      <c r="K282" t="s">
        <v>475</v>
      </c>
      <c r="L282" t="s">
        <v>476</v>
      </c>
      <c r="M282">
        <v>29</v>
      </c>
      <c r="N282">
        <v>113.71</v>
      </c>
      <c r="O282" s="2">
        <v>38497.578275462962</v>
      </c>
    </row>
    <row r="283" spans="1:15" x14ac:dyDescent="0.25">
      <c r="A283">
        <v>275</v>
      </c>
      <c r="B283">
        <v>421</v>
      </c>
      <c r="C283" t="s">
        <v>635</v>
      </c>
      <c r="D283" t="s">
        <v>636</v>
      </c>
      <c r="E283">
        <v>27</v>
      </c>
      <c r="F283">
        <v>119.73</v>
      </c>
      <c r="G283" s="2">
        <v>38500.105081018519</v>
      </c>
      <c r="I283">
        <v>275</v>
      </c>
      <c r="J283">
        <v>157</v>
      </c>
      <c r="K283" t="s">
        <v>309</v>
      </c>
      <c r="L283" t="s">
        <v>310</v>
      </c>
      <c r="M283">
        <v>31</v>
      </c>
      <c r="N283">
        <v>113.69</v>
      </c>
      <c r="O283" s="2">
        <v>38500.105081018519</v>
      </c>
    </row>
    <row r="284" spans="1:15" x14ac:dyDescent="0.25">
      <c r="A284">
        <v>276</v>
      </c>
      <c r="B284">
        <v>280</v>
      </c>
      <c r="C284" t="s">
        <v>618</v>
      </c>
      <c r="D284" t="s">
        <v>619</v>
      </c>
      <c r="E284">
        <v>27</v>
      </c>
      <c r="F284">
        <v>118.73</v>
      </c>
      <c r="G284" s="2">
        <v>38503.110601851855</v>
      </c>
      <c r="I284">
        <v>276</v>
      </c>
      <c r="J284">
        <v>91</v>
      </c>
      <c r="K284" t="s">
        <v>118</v>
      </c>
      <c r="L284" t="s">
        <v>119</v>
      </c>
      <c r="M284">
        <v>35</v>
      </c>
      <c r="N284">
        <v>113.65</v>
      </c>
      <c r="O284" s="2">
        <v>38503.110601851855</v>
      </c>
    </row>
    <row r="285" spans="1:15" x14ac:dyDescent="0.25">
      <c r="A285">
        <v>277</v>
      </c>
      <c r="B285">
        <v>292</v>
      </c>
      <c r="C285" t="s">
        <v>624</v>
      </c>
      <c r="D285" t="s">
        <v>625</v>
      </c>
      <c r="E285">
        <v>27</v>
      </c>
      <c r="F285">
        <v>118.73</v>
      </c>
      <c r="G285" s="2">
        <v>38499.041712962964</v>
      </c>
      <c r="I285">
        <v>277</v>
      </c>
      <c r="J285">
        <v>493</v>
      </c>
      <c r="K285" t="s">
        <v>996</v>
      </c>
      <c r="L285" t="s">
        <v>997</v>
      </c>
      <c r="M285">
        <v>23</v>
      </c>
      <c r="N285">
        <v>112.77</v>
      </c>
      <c r="O285" s="2">
        <v>38499.041712962964</v>
      </c>
    </row>
    <row r="286" spans="1:15" x14ac:dyDescent="0.25">
      <c r="A286">
        <v>278</v>
      </c>
      <c r="B286">
        <v>286</v>
      </c>
      <c r="C286" t="s">
        <v>622</v>
      </c>
      <c r="D286" t="s">
        <v>623</v>
      </c>
      <c r="E286">
        <v>27</v>
      </c>
      <c r="F286">
        <v>117.73</v>
      </c>
      <c r="G286" s="2">
        <v>38497.510636574072</v>
      </c>
      <c r="I286">
        <v>278</v>
      </c>
      <c r="J286">
        <v>540</v>
      </c>
      <c r="K286" t="s">
        <v>908</v>
      </c>
      <c r="L286" t="s">
        <v>909</v>
      </c>
      <c r="M286">
        <v>24</v>
      </c>
      <c r="N286">
        <v>112.76</v>
      </c>
      <c r="O286" s="2">
        <v>38497.510636574072</v>
      </c>
    </row>
    <row r="287" spans="1:15" x14ac:dyDescent="0.25">
      <c r="A287">
        <v>279</v>
      </c>
      <c r="B287">
        <v>577</v>
      </c>
      <c r="C287" t="s">
        <v>647</v>
      </c>
      <c r="D287" t="s">
        <v>648</v>
      </c>
      <c r="E287">
        <v>27</v>
      </c>
      <c r="F287">
        <v>117.73</v>
      </c>
      <c r="G287" s="2">
        <v>38498.847766203704</v>
      </c>
      <c r="I287">
        <v>279</v>
      </c>
      <c r="J287">
        <v>63</v>
      </c>
      <c r="K287" t="s">
        <v>767</v>
      </c>
      <c r="L287" t="s">
        <v>768</v>
      </c>
      <c r="M287">
        <v>25</v>
      </c>
      <c r="N287">
        <v>112.75</v>
      </c>
      <c r="O287" s="2">
        <v>38498.847766203704</v>
      </c>
    </row>
    <row r="288" spans="1:15" x14ac:dyDescent="0.25">
      <c r="A288">
        <v>280</v>
      </c>
      <c r="B288">
        <v>58</v>
      </c>
      <c r="C288" t="s">
        <v>592</v>
      </c>
      <c r="D288" t="s">
        <v>593</v>
      </c>
      <c r="E288">
        <v>27</v>
      </c>
      <c r="F288">
        <v>115.73</v>
      </c>
      <c r="G288" s="2">
        <v>38498.480439814812</v>
      </c>
      <c r="I288">
        <v>280</v>
      </c>
      <c r="J288">
        <v>590</v>
      </c>
      <c r="K288" t="s">
        <v>848</v>
      </c>
      <c r="L288" t="s">
        <v>849</v>
      </c>
      <c r="M288">
        <v>25</v>
      </c>
      <c r="N288">
        <v>112.75</v>
      </c>
      <c r="O288" s="2">
        <v>38498.480439814812</v>
      </c>
    </row>
    <row r="289" spans="1:15" x14ac:dyDescent="0.25">
      <c r="A289">
        <v>281</v>
      </c>
      <c r="B289">
        <v>220</v>
      </c>
      <c r="C289" t="s">
        <v>615</v>
      </c>
      <c r="D289" t="s">
        <v>616</v>
      </c>
      <c r="E289">
        <v>27</v>
      </c>
      <c r="F289">
        <v>114.73</v>
      </c>
      <c r="G289" s="2">
        <v>38499.590949074074</v>
      </c>
      <c r="I289">
        <v>281</v>
      </c>
      <c r="J289">
        <v>327</v>
      </c>
      <c r="K289" t="s">
        <v>713</v>
      </c>
      <c r="L289" t="s">
        <v>714</v>
      </c>
      <c r="M289">
        <v>26</v>
      </c>
      <c r="N289">
        <v>112.74</v>
      </c>
      <c r="O289" s="2">
        <v>38499.590949074074</v>
      </c>
    </row>
    <row r="290" spans="1:15" x14ac:dyDescent="0.25">
      <c r="A290">
        <v>282</v>
      </c>
      <c r="B290">
        <v>139</v>
      </c>
      <c r="C290" t="s">
        <v>603</v>
      </c>
      <c r="D290" t="s">
        <v>604</v>
      </c>
      <c r="E290">
        <v>27</v>
      </c>
      <c r="F290">
        <v>113.73</v>
      </c>
      <c r="G290" s="2">
        <v>38517.98814814815</v>
      </c>
      <c r="I290">
        <v>282</v>
      </c>
      <c r="J290">
        <v>407</v>
      </c>
      <c r="K290" t="s">
        <v>633</v>
      </c>
      <c r="L290" t="s">
        <v>634</v>
      </c>
      <c r="M290">
        <v>27</v>
      </c>
      <c r="N290">
        <v>112.73</v>
      </c>
      <c r="O290" s="2">
        <v>38517.98814814815</v>
      </c>
    </row>
    <row r="291" spans="1:15" x14ac:dyDescent="0.25">
      <c r="A291">
        <v>283</v>
      </c>
      <c r="B291">
        <v>407</v>
      </c>
      <c r="C291" t="s">
        <v>633</v>
      </c>
      <c r="D291" t="s">
        <v>634</v>
      </c>
      <c r="E291">
        <v>27</v>
      </c>
      <c r="F291">
        <v>112.73</v>
      </c>
      <c r="G291" s="2">
        <v>38500.661412037036</v>
      </c>
      <c r="I291">
        <v>283</v>
      </c>
      <c r="J291">
        <v>441</v>
      </c>
      <c r="K291" t="s">
        <v>560</v>
      </c>
      <c r="L291" t="s">
        <v>561</v>
      </c>
      <c r="M291">
        <v>28</v>
      </c>
      <c r="N291">
        <v>112.72</v>
      </c>
      <c r="O291" s="2">
        <v>38500.661412037036</v>
      </c>
    </row>
    <row r="292" spans="1:15" x14ac:dyDescent="0.25">
      <c r="A292">
        <v>284</v>
      </c>
      <c r="B292">
        <v>116</v>
      </c>
      <c r="C292" t="s">
        <v>599</v>
      </c>
      <c r="D292" t="s">
        <v>600</v>
      </c>
      <c r="E292">
        <v>27</v>
      </c>
      <c r="F292">
        <v>111.73</v>
      </c>
      <c r="G292" s="2">
        <v>38503.33630787037</v>
      </c>
      <c r="I292">
        <v>284</v>
      </c>
      <c r="J292">
        <v>161</v>
      </c>
      <c r="K292" t="s">
        <v>378</v>
      </c>
      <c r="L292" t="s">
        <v>379</v>
      </c>
      <c r="M292">
        <v>30</v>
      </c>
      <c r="N292">
        <v>112.7</v>
      </c>
      <c r="O292" s="2">
        <v>38503.33630787037</v>
      </c>
    </row>
    <row r="293" spans="1:15" x14ac:dyDescent="0.25">
      <c r="A293">
        <v>285</v>
      </c>
      <c r="B293">
        <v>396</v>
      </c>
      <c r="C293" t="s">
        <v>631</v>
      </c>
      <c r="D293" t="s">
        <v>632</v>
      </c>
      <c r="E293">
        <v>27</v>
      </c>
      <c r="F293">
        <v>111.73</v>
      </c>
      <c r="G293" s="2">
        <v>38500.781793981485</v>
      </c>
      <c r="I293">
        <v>285</v>
      </c>
      <c r="J293">
        <v>256</v>
      </c>
      <c r="K293" t="s">
        <v>380</v>
      </c>
      <c r="L293" t="s">
        <v>381</v>
      </c>
      <c r="M293">
        <v>30</v>
      </c>
      <c r="N293">
        <v>112.7</v>
      </c>
      <c r="O293" s="2">
        <v>38500.781793981485</v>
      </c>
    </row>
    <row r="294" spans="1:15" x14ac:dyDescent="0.25">
      <c r="A294">
        <v>286</v>
      </c>
      <c r="B294">
        <v>579</v>
      </c>
      <c r="C294" t="s">
        <v>649</v>
      </c>
      <c r="D294" t="s">
        <v>650</v>
      </c>
      <c r="E294">
        <v>27</v>
      </c>
      <c r="F294">
        <v>111.73</v>
      </c>
      <c r="G294" s="2">
        <v>38521.734548611108</v>
      </c>
      <c r="I294">
        <v>286</v>
      </c>
      <c r="J294">
        <v>453</v>
      </c>
      <c r="K294" t="s">
        <v>992</v>
      </c>
      <c r="L294" t="s">
        <v>993</v>
      </c>
      <c r="M294">
        <v>23</v>
      </c>
      <c r="N294">
        <v>111.77</v>
      </c>
      <c r="O294" s="2">
        <v>38521.734548611108</v>
      </c>
    </row>
    <row r="295" spans="1:15" x14ac:dyDescent="0.25">
      <c r="A295">
        <v>287</v>
      </c>
      <c r="B295">
        <v>40</v>
      </c>
      <c r="C295" t="s">
        <v>588</v>
      </c>
      <c r="D295" t="s">
        <v>589</v>
      </c>
      <c r="E295">
        <v>27</v>
      </c>
      <c r="F295">
        <v>110.73</v>
      </c>
      <c r="G295" s="2">
        <v>38497.888807870368</v>
      </c>
      <c r="I295">
        <v>287</v>
      </c>
      <c r="J295">
        <v>528</v>
      </c>
      <c r="K295" t="s">
        <v>834</v>
      </c>
      <c r="L295" t="s">
        <v>835</v>
      </c>
      <c r="M295">
        <v>25</v>
      </c>
      <c r="N295">
        <v>111.75</v>
      </c>
      <c r="O295" s="2">
        <v>38497.888807870368</v>
      </c>
    </row>
    <row r="296" spans="1:15" x14ac:dyDescent="0.25">
      <c r="A296">
        <v>288</v>
      </c>
      <c r="B296">
        <v>190</v>
      </c>
      <c r="C296" t="s">
        <v>609</v>
      </c>
      <c r="D296" t="s">
        <v>610</v>
      </c>
      <c r="E296">
        <v>27</v>
      </c>
      <c r="F296">
        <v>110.73</v>
      </c>
      <c r="G296" s="2">
        <v>38499.682060185187</v>
      </c>
      <c r="I296">
        <v>288</v>
      </c>
      <c r="J296">
        <v>234</v>
      </c>
      <c r="K296" t="s">
        <v>694</v>
      </c>
      <c r="L296" t="s">
        <v>695</v>
      </c>
      <c r="M296">
        <v>26</v>
      </c>
      <c r="N296">
        <v>111.74</v>
      </c>
      <c r="O296" s="2">
        <v>38499.682060185187</v>
      </c>
    </row>
    <row r="297" spans="1:15" x14ac:dyDescent="0.25">
      <c r="A297">
        <v>289</v>
      </c>
      <c r="B297">
        <v>333</v>
      </c>
      <c r="C297" t="s">
        <v>628</v>
      </c>
      <c r="D297" t="s">
        <v>629</v>
      </c>
      <c r="E297">
        <v>27</v>
      </c>
      <c r="F297">
        <v>109.73</v>
      </c>
      <c r="G297" s="2">
        <v>38496.961585648147</v>
      </c>
      <c r="I297">
        <v>289</v>
      </c>
      <c r="J297">
        <v>518</v>
      </c>
      <c r="K297" t="s">
        <v>751</v>
      </c>
      <c r="L297" t="s">
        <v>752</v>
      </c>
      <c r="M297">
        <v>26</v>
      </c>
      <c r="N297">
        <v>111.74</v>
      </c>
      <c r="O297" s="2">
        <v>38496.961585648147</v>
      </c>
    </row>
    <row r="298" spans="1:15" x14ac:dyDescent="0.25">
      <c r="A298">
        <v>290</v>
      </c>
      <c r="B298">
        <v>471</v>
      </c>
      <c r="C298" t="s">
        <v>33</v>
      </c>
      <c r="D298" t="s">
        <v>640</v>
      </c>
      <c r="E298">
        <v>27</v>
      </c>
      <c r="F298">
        <v>109.73</v>
      </c>
      <c r="G298" s="2">
        <v>38500.656701388885</v>
      </c>
      <c r="I298">
        <v>290</v>
      </c>
      <c r="J298">
        <v>116</v>
      </c>
      <c r="K298" t="s">
        <v>599</v>
      </c>
      <c r="L298" t="s">
        <v>600</v>
      </c>
      <c r="M298">
        <v>27</v>
      </c>
      <c r="N298">
        <v>111.73</v>
      </c>
      <c r="O298" s="2">
        <v>38500.656701388885</v>
      </c>
    </row>
    <row r="299" spans="1:15" x14ac:dyDescent="0.25">
      <c r="A299">
        <v>291</v>
      </c>
      <c r="B299">
        <v>581</v>
      </c>
      <c r="C299" t="s">
        <v>652</v>
      </c>
      <c r="D299" t="s">
        <v>653</v>
      </c>
      <c r="E299">
        <v>27</v>
      </c>
      <c r="F299">
        <v>107.73</v>
      </c>
      <c r="G299" s="2">
        <v>38502.8828587963</v>
      </c>
      <c r="I299">
        <v>291</v>
      </c>
      <c r="J299">
        <v>396</v>
      </c>
      <c r="K299" t="s">
        <v>631</v>
      </c>
      <c r="L299" t="s">
        <v>632</v>
      </c>
      <c r="M299">
        <v>27</v>
      </c>
      <c r="N299">
        <v>111.73</v>
      </c>
      <c r="O299" s="2">
        <v>38502.8828587963</v>
      </c>
    </row>
    <row r="300" spans="1:15" x14ac:dyDescent="0.25">
      <c r="A300">
        <v>292</v>
      </c>
      <c r="B300">
        <v>160</v>
      </c>
      <c r="C300" t="s">
        <v>607</v>
      </c>
      <c r="D300" t="s">
        <v>608</v>
      </c>
      <c r="E300">
        <v>27</v>
      </c>
      <c r="F300">
        <v>106.73</v>
      </c>
      <c r="G300" s="2">
        <v>38521.377303240741</v>
      </c>
      <c r="I300">
        <v>292</v>
      </c>
      <c r="J300">
        <v>579</v>
      </c>
      <c r="K300" t="s">
        <v>649</v>
      </c>
      <c r="L300" t="s">
        <v>650</v>
      </c>
      <c r="M300">
        <v>27</v>
      </c>
      <c r="N300">
        <v>111.73</v>
      </c>
      <c r="O300" s="2">
        <v>38521.377303240741</v>
      </c>
    </row>
    <row r="301" spans="1:15" x14ac:dyDescent="0.25">
      <c r="A301">
        <v>293</v>
      </c>
      <c r="B301">
        <v>96</v>
      </c>
      <c r="C301" t="s">
        <v>598</v>
      </c>
      <c r="D301" t="s">
        <v>109</v>
      </c>
      <c r="E301">
        <v>27</v>
      </c>
      <c r="F301">
        <v>105.73</v>
      </c>
      <c r="G301" s="2">
        <v>38518.299756944441</v>
      </c>
      <c r="I301">
        <v>293</v>
      </c>
      <c r="J301">
        <v>213</v>
      </c>
      <c r="K301" t="s">
        <v>530</v>
      </c>
      <c r="L301" t="s">
        <v>531</v>
      </c>
      <c r="M301">
        <v>28</v>
      </c>
      <c r="N301">
        <v>111.72</v>
      </c>
      <c r="O301" s="2">
        <v>38518.299756944441</v>
      </c>
    </row>
    <row r="302" spans="1:15" x14ac:dyDescent="0.25">
      <c r="A302">
        <v>294</v>
      </c>
      <c r="B302">
        <v>74</v>
      </c>
      <c r="C302" t="s">
        <v>596</v>
      </c>
      <c r="D302" t="s">
        <v>597</v>
      </c>
      <c r="E302">
        <v>27</v>
      </c>
      <c r="F302">
        <v>103.73</v>
      </c>
      <c r="G302" s="2">
        <v>38503.692777777775</v>
      </c>
      <c r="I302">
        <v>294</v>
      </c>
      <c r="J302">
        <v>592</v>
      </c>
      <c r="K302" t="s">
        <v>500</v>
      </c>
      <c r="L302" t="s">
        <v>501</v>
      </c>
      <c r="M302">
        <v>29</v>
      </c>
      <c r="N302">
        <v>111.71</v>
      </c>
      <c r="O302" s="2">
        <v>38503.692777777775</v>
      </c>
    </row>
    <row r="303" spans="1:15" x14ac:dyDescent="0.25">
      <c r="A303">
        <v>295</v>
      </c>
      <c r="B303">
        <v>282</v>
      </c>
      <c r="C303" t="s">
        <v>620</v>
      </c>
      <c r="D303" t="s">
        <v>621</v>
      </c>
      <c r="E303">
        <v>27</v>
      </c>
      <c r="F303">
        <v>103.73</v>
      </c>
      <c r="G303" s="2">
        <v>38497.264421296299</v>
      </c>
      <c r="I303">
        <v>295</v>
      </c>
      <c r="J303">
        <v>28</v>
      </c>
      <c r="K303" t="s">
        <v>237</v>
      </c>
      <c r="L303" t="s">
        <v>238</v>
      </c>
      <c r="M303">
        <v>32</v>
      </c>
      <c r="N303">
        <v>111.68</v>
      </c>
      <c r="O303" s="2">
        <v>38497.264421296299</v>
      </c>
    </row>
    <row r="304" spans="1:15" x14ac:dyDescent="0.25">
      <c r="A304">
        <v>296</v>
      </c>
      <c r="B304">
        <v>383</v>
      </c>
      <c r="C304" t="s">
        <v>509</v>
      </c>
      <c r="D304" t="s">
        <v>630</v>
      </c>
      <c r="E304">
        <v>27</v>
      </c>
      <c r="F304">
        <v>103.73</v>
      </c>
      <c r="G304" s="2">
        <v>38497.388379629629</v>
      </c>
      <c r="I304">
        <v>296</v>
      </c>
      <c r="J304">
        <v>258</v>
      </c>
      <c r="K304" t="s">
        <v>885</v>
      </c>
      <c r="L304" t="s">
        <v>886</v>
      </c>
      <c r="M304">
        <v>24</v>
      </c>
      <c r="N304">
        <v>110.76</v>
      </c>
      <c r="O304" s="2">
        <v>38497.388379629629</v>
      </c>
    </row>
    <row r="305" spans="1:15" x14ac:dyDescent="0.25">
      <c r="A305">
        <v>297</v>
      </c>
      <c r="B305">
        <v>570</v>
      </c>
      <c r="C305" t="s">
        <v>755</v>
      </c>
      <c r="D305" t="s">
        <v>756</v>
      </c>
      <c r="E305">
        <v>26</v>
      </c>
      <c r="F305">
        <v>99.74</v>
      </c>
      <c r="G305" s="2">
        <v>38503.348414351851</v>
      </c>
      <c r="I305">
        <v>297</v>
      </c>
      <c r="J305">
        <v>375</v>
      </c>
      <c r="K305" t="s">
        <v>890</v>
      </c>
      <c r="L305" t="s">
        <v>891</v>
      </c>
      <c r="M305">
        <v>24</v>
      </c>
      <c r="N305">
        <v>110.76</v>
      </c>
      <c r="O305" s="2">
        <v>38503.348414351851</v>
      </c>
    </row>
    <row r="306" spans="1:15" x14ac:dyDescent="0.25">
      <c r="A306">
        <v>298</v>
      </c>
      <c r="B306">
        <v>516</v>
      </c>
      <c r="C306" t="s">
        <v>749</v>
      </c>
      <c r="D306" t="s">
        <v>750</v>
      </c>
      <c r="E306">
        <v>26</v>
      </c>
      <c r="F306">
        <v>98.74</v>
      </c>
      <c r="G306" s="2">
        <v>38499.157847222225</v>
      </c>
      <c r="I306">
        <v>298</v>
      </c>
      <c r="J306">
        <v>417</v>
      </c>
      <c r="K306" t="s">
        <v>814</v>
      </c>
      <c r="L306" t="s">
        <v>815</v>
      </c>
      <c r="M306">
        <v>25</v>
      </c>
      <c r="N306">
        <v>110.75</v>
      </c>
      <c r="O306" s="2">
        <v>38499.157847222225</v>
      </c>
    </row>
    <row r="307" spans="1:15" x14ac:dyDescent="0.25">
      <c r="A307">
        <v>299</v>
      </c>
      <c r="B307">
        <v>111</v>
      </c>
      <c r="C307" t="s">
        <v>670</v>
      </c>
      <c r="D307" t="s">
        <v>671</v>
      </c>
      <c r="E307">
        <v>26</v>
      </c>
      <c r="F307">
        <v>97.74</v>
      </c>
      <c r="G307" s="2">
        <v>38500.08792824074</v>
      </c>
      <c r="I307">
        <v>299</v>
      </c>
      <c r="J307">
        <v>231</v>
      </c>
      <c r="K307" t="s">
        <v>692</v>
      </c>
      <c r="L307" t="s">
        <v>693</v>
      </c>
      <c r="M307">
        <v>26</v>
      </c>
      <c r="N307">
        <v>110.74</v>
      </c>
      <c r="O307" s="2">
        <v>38500.08792824074</v>
      </c>
    </row>
    <row r="308" spans="1:15" x14ac:dyDescent="0.25">
      <c r="A308">
        <v>300</v>
      </c>
      <c r="B308">
        <v>182</v>
      </c>
      <c r="C308" t="s">
        <v>681</v>
      </c>
      <c r="D308" t="s">
        <v>682</v>
      </c>
      <c r="E308">
        <v>26</v>
      </c>
      <c r="F308">
        <v>97.74</v>
      </c>
      <c r="G308" s="2">
        <v>38498.077638888892</v>
      </c>
      <c r="I308">
        <v>300</v>
      </c>
      <c r="J308">
        <v>40</v>
      </c>
      <c r="K308" t="s">
        <v>588</v>
      </c>
      <c r="L308" t="s">
        <v>589</v>
      </c>
      <c r="M308">
        <v>27</v>
      </c>
      <c r="N308">
        <v>110.73</v>
      </c>
      <c r="O308" s="2">
        <v>38498.077638888892</v>
      </c>
    </row>
    <row r="309" spans="1:15" x14ac:dyDescent="0.25">
      <c r="A309">
        <v>301</v>
      </c>
      <c r="B309">
        <v>422</v>
      </c>
      <c r="C309" t="s">
        <v>727</v>
      </c>
      <c r="D309" t="s">
        <v>728</v>
      </c>
      <c r="E309">
        <v>26</v>
      </c>
      <c r="F309">
        <v>97.74</v>
      </c>
      <c r="G309" s="2">
        <v>38499.530590277776</v>
      </c>
      <c r="I309">
        <v>301</v>
      </c>
      <c r="J309">
        <v>190</v>
      </c>
      <c r="K309" t="s">
        <v>609</v>
      </c>
      <c r="L309" t="s">
        <v>610</v>
      </c>
      <c r="M309">
        <v>27</v>
      </c>
      <c r="N309">
        <v>110.73</v>
      </c>
      <c r="O309" s="2">
        <v>38499.530590277776</v>
      </c>
    </row>
    <row r="310" spans="1:15" x14ac:dyDescent="0.25">
      <c r="A310">
        <v>302</v>
      </c>
      <c r="B310">
        <v>551</v>
      </c>
      <c r="C310" t="s">
        <v>753</v>
      </c>
      <c r="D310" t="s">
        <v>754</v>
      </c>
      <c r="E310">
        <v>26</v>
      </c>
      <c r="F310">
        <v>96.74</v>
      </c>
      <c r="G310" s="2">
        <v>38498.052141203705</v>
      </c>
      <c r="I310">
        <v>302</v>
      </c>
      <c r="J310">
        <v>90</v>
      </c>
      <c r="K310" t="s">
        <v>516</v>
      </c>
      <c r="L310" t="s">
        <v>517</v>
      </c>
      <c r="M310">
        <v>28</v>
      </c>
      <c r="N310">
        <v>110.72</v>
      </c>
      <c r="O310" s="2">
        <v>38498.052141203705</v>
      </c>
    </row>
    <row r="311" spans="1:15" x14ac:dyDescent="0.25">
      <c r="A311">
        <v>303</v>
      </c>
      <c r="B311">
        <v>142</v>
      </c>
      <c r="C311" t="s">
        <v>674</v>
      </c>
      <c r="D311" t="s">
        <v>675</v>
      </c>
      <c r="E311">
        <v>26</v>
      </c>
      <c r="F311">
        <v>94.74</v>
      </c>
      <c r="G311" s="2">
        <v>38497.006273148145</v>
      </c>
      <c r="I311">
        <v>303</v>
      </c>
      <c r="J311">
        <v>376</v>
      </c>
      <c r="K311" t="s">
        <v>556</v>
      </c>
      <c r="L311" t="s">
        <v>557</v>
      </c>
      <c r="M311">
        <v>28</v>
      </c>
      <c r="N311">
        <v>110.72</v>
      </c>
      <c r="O311" s="2">
        <v>38497.006273148145</v>
      </c>
    </row>
    <row r="312" spans="1:15" x14ac:dyDescent="0.25">
      <c r="A312">
        <v>304</v>
      </c>
      <c r="B312">
        <v>377</v>
      </c>
      <c r="C312" t="s">
        <v>717</v>
      </c>
      <c r="D312" t="s">
        <v>718</v>
      </c>
      <c r="E312">
        <v>26</v>
      </c>
      <c r="F312">
        <v>93.74</v>
      </c>
      <c r="G312" s="2">
        <v>38522.130231481482</v>
      </c>
      <c r="I312">
        <v>304</v>
      </c>
      <c r="J312">
        <v>559</v>
      </c>
      <c r="K312" t="s">
        <v>575</v>
      </c>
      <c r="L312" t="s">
        <v>576</v>
      </c>
      <c r="M312">
        <v>28</v>
      </c>
      <c r="N312">
        <v>110.72</v>
      </c>
      <c r="O312" s="2">
        <v>38522.130231481482</v>
      </c>
    </row>
    <row r="313" spans="1:15" x14ac:dyDescent="0.25">
      <c r="A313">
        <v>305</v>
      </c>
      <c r="B313">
        <v>208</v>
      </c>
      <c r="C313" t="s">
        <v>685</v>
      </c>
      <c r="D313" t="s">
        <v>686</v>
      </c>
      <c r="E313">
        <v>26</v>
      </c>
      <c r="F313">
        <v>91.74</v>
      </c>
      <c r="G313" s="2">
        <v>38497.70171296296</v>
      </c>
      <c r="I313">
        <v>305</v>
      </c>
      <c r="J313">
        <v>563</v>
      </c>
      <c r="K313" t="s">
        <v>491</v>
      </c>
      <c r="L313" t="s">
        <v>492</v>
      </c>
      <c r="M313">
        <v>29</v>
      </c>
      <c r="N313">
        <v>110.71</v>
      </c>
      <c r="O313" s="2">
        <v>38497.70171296296</v>
      </c>
    </row>
    <row r="314" spans="1:15" x14ac:dyDescent="0.25">
      <c r="A314">
        <v>306</v>
      </c>
      <c r="B314">
        <v>215</v>
      </c>
      <c r="C314" t="s">
        <v>231</v>
      </c>
      <c r="D314" t="s">
        <v>687</v>
      </c>
      <c r="E314">
        <v>26</v>
      </c>
      <c r="F314">
        <v>91.74</v>
      </c>
      <c r="G314" s="2">
        <v>38501.159062500003</v>
      </c>
      <c r="I314">
        <v>306</v>
      </c>
      <c r="J314">
        <v>135</v>
      </c>
      <c r="K314" t="s">
        <v>374</v>
      </c>
      <c r="L314" t="s">
        <v>375</v>
      </c>
      <c r="M314">
        <v>30</v>
      </c>
      <c r="N314">
        <v>110.7</v>
      </c>
      <c r="O314" s="2">
        <v>38501.159062500003</v>
      </c>
    </row>
    <row r="315" spans="1:15" x14ac:dyDescent="0.25">
      <c r="A315">
        <v>307</v>
      </c>
      <c r="B315">
        <v>357</v>
      </c>
      <c r="C315" t="s">
        <v>715</v>
      </c>
      <c r="D315" t="s">
        <v>716</v>
      </c>
      <c r="E315">
        <v>26</v>
      </c>
      <c r="F315">
        <v>89.74</v>
      </c>
      <c r="G315" s="2">
        <v>38497.993009259262</v>
      </c>
      <c r="I315">
        <v>307</v>
      </c>
      <c r="J315">
        <v>424</v>
      </c>
      <c r="K315" t="s">
        <v>414</v>
      </c>
      <c r="L315" t="s">
        <v>415</v>
      </c>
      <c r="M315">
        <v>30</v>
      </c>
      <c r="N315">
        <v>110.7</v>
      </c>
      <c r="O315" s="2">
        <v>38497.993009259262</v>
      </c>
    </row>
    <row r="316" spans="1:15" x14ac:dyDescent="0.25">
      <c r="A316">
        <v>308</v>
      </c>
      <c r="B316">
        <v>450</v>
      </c>
      <c r="C316" t="s">
        <v>735</v>
      </c>
      <c r="D316" t="s">
        <v>736</v>
      </c>
      <c r="E316">
        <v>26</v>
      </c>
      <c r="F316">
        <v>89.74</v>
      </c>
      <c r="G316" s="2">
        <v>38500.315925925926</v>
      </c>
      <c r="I316">
        <v>308</v>
      </c>
      <c r="J316">
        <v>138</v>
      </c>
      <c r="K316" t="s">
        <v>169</v>
      </c>
      <c r="L316" t="s">
        <v>170</v>
      </c>
      <c r="M316">
        <v>34</v>
      </c>
      <c r="N316">
        <v>110.66</v>
      </c>
      <c r="O316" s="2">
        <v>38500.315925925926</v>
      </c>
    </row>
    <row r="317" spans="1:15" x14ac:dyDescent="0.25">
      <c r="A317">
        <v>309</v>
      </c>
      <c r="B317">
        <v>278</v>
      </c>
      <c r="C317" t="s">
        <v>700</v>
      </c>
      <c r="D317" t="s">
        <v>701</v>
      </c>
      <c r="E317">
        <v>26</v>
      </c>
      <c r="F317">
        <v>88.74</v>
      </c>
      <c r="G317" s="2">
        <v>38503.511076388888</v>
      </c>
      <c r="I317">
        <v>309</v>
      </c>
      <c r="J317">
        <v>477</v>
      </c>
      <c r="K317" t="s">
        <v>1047</v>
      </c>
      <c r="L317" t="s">
        <v>1048</v>
      </c>
      <c r="M317">
        <v>22</v>
      </c>
      <c r="N317">
        <v>109.78</v>
      </c>
      <c r="O317" s="2">
        <v>38503.511076388888</v>
      </c>
    </row>
    <row r="318" spans="1:15" x14ac:dyDescent="0.25">
      <c r="A318">
        <v>310</v>
      </c>
      <c r="B318">
        <v>411</v>
      </c>
      <c r="C318" t="s">
        <v>725</v>
      </c>
      <c r="D318" t="s">
        <v>726</v>
      </c>
      <c r="E318">
        <v>26</v>
      </c>
      <c r="F318">
        <v>80.739999999999995</v>
      </c>
      <c r="G318" s="2">
        <v>38501.018865740742</v>
      </c>
      <c r="I318">
        <v>310</v>
      </c>
      <c r="J318">
        <v>155</v>
      </c>
      <c r="K318" t="s">
        <v>777</v>
      </c>
      <c r="L318" t="s">
        <v>778</v>
      </c>
      <c r="M318">
        <v>25</v>
      </c>
      <c r="N318">
        <v>109.75</v>
      </c>
      <c r="O318" s="2">
        <v>38501.018865740742</v>
      </c>
    </row>
    <row r="319" spans="1:15" x14ac:dyDescent="0.25">
      <c r="A319">
        <v>311</v>
      </c>
      <c r="B319">
        <v>3</v>
      </c>
      <c r="C319" t="s">
        <v>658</v>
      </c>
      <c r="D319" t="s">
        <v>659</v>
      </c>
      <c r="E319">
        <v>26</v>
      </c>
      <c r="F319">
        <v>135.74</v>
      </c>
      <c r="G319" s="2">
        <v>38499.720243055555</v>
      </c>
      <c r="I319">
        <v>311</v>
      </c>
      <c r="J319">
        <v>193</v>
      </c>
      <c r="K319" t="s">
        <v>783</v>
      </c>
      <c r="L319" t="s">
        <v>784</v>
      </c>
      <c r="M319">
        <v>25</v>
      </c>
      <c r="N319">
        <v>109.75</v>
      </c>
      <c r="O319" s="2">
        <v>38499.720243055555</v>
      </c>
    </row>
    <row r="320" spans="1:15" x14ac:dyDescent="0.25">
      <c r="A320">
        <v>312</v>
      </c>
      <c r="B320">
        <v>285</v>
      </c>
      <c r="C320" t="s">
        <v>702</v>
      </c>
      <c r="D320" t="s">
        <v>703</v>
      </c>
      <c r="E320">
        <v>26</v>
      </c>
      <c r="F320">
        <v>135.74</v>
      </c>
      <c r="G320" s="2">
        <v>38517.963287037041</v>
      </c>
      <c r="I320">
        <v>312</v>
      </c>
      <c r="J320">
        <v>305</v>
      </c>
      <c r="K320" t="s">
        <v>798</v>
      </c>
      <c r="L320" t="s">
        <v>799</v>
      </c>
      <c r="M320">
        <v>25</v>
      </c>
      <c r="N320">
        <v>109.75</v>
      </c>
      <c r="O320" s="2">
        <v>38517.963287037041</v>
      </c>
    </row>
    <row r="321" spans="1:15" x14ac:dyDescent="0.25">
      <c r="A321">
        <v>313</v>
      </c>
      <c r="B321">
        <v>82</v>
      </c>
      <c r="C321" t="s">
        <v>664</v>
      </c>
      <c r="D321" t="s">
        <v>665</v>
      </c>
      <c r="E321">
        <v>26</v>
      </c>
      <c r="F321">
        <v>130.74</v>
      </c>
      <c r="G321" s="2">
        <v>38497.999340277776</v>
      </c>
      <c r="I321">
        <v>313</v>
      </c>
      <c r="J321">
        <v>460</v>
      </c>
      <c r="K321" t="s">
        <v>824</v>
      </c>
      <c r="L321" t="s">
        <v>825</v>
      </c>
      <c r="M321">
        <v>25</v>
      </c>
      <c r="N321">
        <v>109.75</v>
      </c>
      <c r="O321" s="2">
        <v>38497.999340277776</v>
      </c>
    </row>
    <row r="322" spans="1:15" x14ac:dyDescent="0.25">
      <c r="A322">
        <v>314</v>
      </c>
      <c r="B322">
        <v>389</v>
      </c>
      <c r="C322" t="s">
        <v>723</v>
      </c>
      <c r="D322" t="s">
        <v>724</v>
      </c>
      <c r="E322">
        <v>26</v>
      </c>
      <c r="F322">
        <v>124.74</v>
      </c>
      <c r="G322" s="2">
        <v>38503.011770833335</v>
      </c>
      <c r="I322">
        <v>314</v>
      </c>
      <c r="J322">
        <v>562</v>
      </c>
      <c r="K322" t="s">
        <v>842</v>
      </c>
      <c r="L322" t="s">
        <v>843</v>
      </c>
      <c r="M322">
        <v>25</v>
      </c>
      <c r="N322">
        <v>109.75</v>
      </c>
      <c r="O322" s="2">
        <v>38503.011770833335</v>
      </c>
    </row>
    <row r="323" spans="1:15" x14ac:dyDescent="0.25">
      <c r="A323">
        <v>315</v>
      </c>
      <c r="B323">
        <v>510</v>
      </c>
      <c r="C323" t="s">
        <v>745</v>
      </c>
      <c r="D323" t="s">
        <v>746</v>
      </c>
      <c r="E323">
        <v>26</v>
      </c>
      <c r="F323">
        <v>122.74</v>
      </c>
      <c r="G323" s="2">
        <v>38497.46775462963</v>
      </c>
      <c r="I323">
        <v>315</v>
      </c>
      <c r="J323">
        <v>121</v>
      </c>
      <c r="K323" t="s">
        <v>672</v>
      </c>
      <c r="L323" t="s">
        <v>673</v>
      </c>
      <c r="M323">
        <v>26</v>
      </c>
      <c r="N323">
        <v>109.74</v>
      </c>
      <c r="O323" s="2">
        <v>38497.46775462963</v>
      </c>
    </row>
    <row r="324" spans="1:15" x14ac:dyDescent="0.25">
      <c r="A324">
        <v>316</v>
      </c>
      <c r="B324">
        <v>149</v>
      </c>
      <c r="C324" t="s">
        <v>676</v>
      </c>
      <c r="D324" t="s">
        <v>677</v>
      </c>
      <c r="E324">
        <v>26</v>
      </c>
      <c r="F324">
        <v>121.74</v>
      </c>
      <c r="G324" s="2">
        <v>38501.484432870369</v>
      </c>
      <c r="I324">
        <v>316</v>
      </c>
      <c r="J324">
        <v>333</v>
      </c>
      <c r="K324" t="s">
        <v>628</v>
      </c>
      <c r="L324" t="s">
        <v>629</v>
      </c>
      <c r="M324">
        <v>27</v>
      </c>
      <c r="N324">
        <v>109.73</v>
      </c>
      <c r="O324" s="2">
        <v>38501.484432870369</v>
      </c>
    </row>
    <row r="325" spans="1:15" x14ac:dyDescent="0.25">
      <c r="A325">
        <v>317</v>
      </c>
      <c r="B325">
        <v>105</v>
      </c>
      <c r="C325" t="s">
        <v>666</v>
      </c>
      <c r="D325" t="s">
        <v>667</v>
      </c>
      <c r="E325">
        <v>26</v>
      </c>
      <c r="F325">
        <v>120.74</v>
      </c>
      <c r="G325" s="2">
        <v>38499.054826388892</v>
      </c>
      <c r="I325">
        <v>317</v>
      </c>
      <c r="J325">
        <v>471</v>
      </c>
      <c r="K325" t="s">
        <v>33</v>
      </c>
      <c r="L325" t="s">
        <v>640</v>
      </c>
      <c r="M325">
        <v>27</v>
      </c>
      <c r="N325">
        <v>109.73</v>
      </c>
      <c r="O325" s="2">
        <v>38499.054826388892</v>
      </c>
    </row>
    <row r="326" spans="1:15" x14ac:dyDescent="0.25">
      <c r="A326">
        <v>318</v>
      </c>
      <c r="B326">
        <v>225</v>
      </c>
      <c r="C326" t="s">
        <v>690</v>
      </c>
      <c r="D326" t="s">
        <v>691</v>
      </c>
      <c r="E326">
        <v>26</v>
      </c>
      <c r="F326">
        <v>120.74</v>
      </c>
      <c r="G326" s="2">
        <v>38501.833680555559</v>
      </c>
      <c r="I326">
        <v>318</v>
      </c>
      <c r="J326">
        <v>290</v>
      </c>
      <c r="K326" t="s">
        <v>544</v>
      </c>
      <c r="L326" t="s">
        <v>545</v>
      </c>
      <c r="M326">
        <v>28</v>
      </c>
      <c r="N326">
        <v>109.72</v>
      </c>
      <c r="O326" s="2">
        <v>38501.833680555559</v>
      </c>
    </row>
    <row r="327" spans="1:15" x14ac:dyDescent="0.25">
      <c r="A327">
        <v>319</v>
      </c>
      <c r="B327">
        <v>423</v>
      </c>
      <c r="C327" t="s">
        <v>729</v>
      </c>
      <c r="D327" t="s">
        <v>730</v>
      </c>
      <c r="E327">
        <v>26</v>
      </c>
      <c r="F327">
        <v>120.74</v>
      </c>
      <c r="G327" s="2">
        <v>38518.922291666669</v>
      </c>
      <c r="I327">
        <v>319</v>
      </c>
      <c r="J327">
        <v>574</v>
      </c>
      <c r="K327" t="s">
        <v>577</v>
      </c>
      <c r="L327" t="s">
        <v>578</v>
      </c>
      <c r="M327">
        <v>28</v>
      </c>
      <c r="N327">
        <v>109.72</v>
      </c>
      <c r="O327" s="2">
        <v>38518.922291666669</v>
      </c>
    </row>
    <row r="328" spans="1:15" x14ac:dyDescent="0.25">
      <c r="A328">
        <v>320</v>
      </c>
      <c r="B328">
        <v>495</v>
      </c>
      <c r="C328" t="s">
        <v>743</v>
      </c>
      <c r="D328" t="s">
        <v>744</v>
      </c>
      <c r="E328">
        <v>26</v>
      </c>
      <c r="F328">
        <v>120.74</v>
      </c>
      <c r="G328" s="2">
        <v>38500.667685185188</v>
      </c>
      <c r="I328">
        <v>320</v>
      </c>
      <c r="J328">
        <v>405</v>
      </c>
      <c r="K328" t="s">
        <v>281</v>
      </c>
      <c r="L328" t="s">
        <v>282</v>
      </c>
      <c r="M328">
        <v>32</v>
      </c>
      <c r="N328">
        <v>109.68</v>
      </c>
      <c r="O328" s="2">
        <v>38500.667685185188</v>
      </c>
    </row>
    <row r="329" spans="1:15" x14ac:dyDescent="0.25">
      <c r="A329">
        <v>321</v>
      </c>
      <c r="B329">
        <v>170</v>
      </c>
      <c r="C329" t="s">
        <v>678</v>
      </c>
      <c r="D329" t="s">
        <v>229</v>
      </c>
      <c r="E329">
        <v>26</v>
      </c>
      <c r="F329">
        <v>119.74</v>
      </c>
      <c r="G329" s="2">
        <v>38498.356365740743</v>
      </c>
      <c r="I329">
        <v>321</v>
      </c>
      <c r="J329">
        <v>47</v>
      </c>
      <c r="K329" t="s">
        <v>1013</v>
      </c>
      <c r="L329" t="s">
        <v>1014</v>
      </c>
      <c r="M329">
        <v>22</v>
      </c>
      <c r="N329">
        <v>108.78</v>
      </c>
      <c r="O329" s="2">
        <v>38498.356365740743</v>
      </c>
    </row>
    <row r="330" spans="1:15" x14ac:dyDescent="0.25">
      <c r="A330">
        <v>322</v>
      </c>
      <c r="B330">
        <v>487</v>
      </c>
      <c r="C330" t="s">
        <v>741</v>
      </c>
      <c r="D330" t="s">
        <v>742</v>
      </c>
      <c r="E330">
        <v>26</v>
      </c>
      <c r="F330">
        <v>119.74</v>
      </c>
      <c r="G330" s="2">
        <v>38523.699965277781</v>
      </c>
      <c r="I330">
        <v>322</v>
      </c>
      <c r="J330">
        <v>541</v>
      </c>
      <c r="K330" t="s">
        <v>910</v>
      </c>
      <c r="L330" t="s">
        <v>911</v>
      </c>
      <c r="M330">
        <v>24</v>
      </c>
      <c r="N330">
        <v>108.76</v>
      </c>
      <c r="O330" s="2">
        <v>38523.699965277781</v>
      </c>
    </row>
    <row r="331" spans="1:15" x14ac:dyDescent="0.25">
      <c r="A331">
        <v>323</v>
      </c>
      <c r="B331">
        <v>240</v>
      </c>
      <c r="C331" t="s">
        <v>696</v>
      </c>
      <c r="D331" t="s">
        <v>697</v>
      </c>
      <c r="E331">
        <v>26</v>
      </c>
      <c r="F331">
        <v>117.74</v>
      </c>
      <c r="G331" s="2">
        <v>38498.581331018519</v>
      </c>
      <c r="I331">
        <v>323</v>
      </c>
      <c r="J331">
        <v>201</v>
      </c>
      <c r="K331" t="s">
        <v>787</v>
      </c>
      <c r="L331" t="s">
        <v>788</v>
      </c>
      <c r="M331">
        <v>25</v>
      </c>
      <c r="N331">
        <v>108.75</v>
      </c>
      <c r="O331" s="2">
        <v>38498.581331018519</v>
      </c>
    </row>
    <row r="332" spans="1:15" x14ac:dyDescent="0.25">
      <c r="A332">
        <v>324</v>
      </c>
      <c r="B332">
        <v>304</v>
      </c>
      <c r="C332" t="s">
        <v>710</v>
      </c>
      <c r="D332" t="s">
        <v>711</v>
      </c>
      <c r="E332">
        <v>26</v>
      </c>
      <c r="F332">
        <v>115.74</v>
      </c>
      <c r="G332" s="2">
        <v>38497.915949074071</v>
      </c>
      <c r="I332">
        <v>324</v>
      </c>
      <c r="J332">
        <v>572</v>
      </c>
      <c r="K332" t="s">
        <v>844</v>
      </c>
      <c r="L332" t="s">
        <v>845</v>
      </c>
      <c r="M332">
        <v>25</v>
      </c>
      <c r="N332">
        <v>108.75</v>
      </c>
      <c r="O332" s="2">
        <v>38497.915949074071</v>
      </c>
    </row>
    <row r="333" spans="1:15" x14ac:dyDescent="0.25">
      <c r="A333">
        <v>325</v>
      </c>
      <c r="B333">
        <v>512</v>
      </c>
      <c r="C333" t="s">
        <v>747</v>
      </c>
      <c r="D333" t="s">
        <v>748</v>
      </c>
      <c r="E333">
        <v>26</v>
      </c>
      <c r="F333">
        <v>115.74</v>
      </c>
      <c r="G333" s="2">
        <v>38518.019872685189</v>
      </c>
      <c r="I333">
        <v>325</v>
      </c>
      <c r="J333">
        <v>587</v>
      </c>
      <c r="K333" t="s">
        <v>757</v>
      </c>
      <c r="L333" t="s">
        <v>758</v>
      </c>
      <c r="M333">
        <v>26</v>
      </c>
      <c r="N333">
        <v>108.74</v>
      </c>
      <c r="O333" s="2">
        <v>38518.019872685189</v>
      </c>
    </row>
    <row r="334" spans="1:15" x14ac:dyDescent="0.25">
      <c r="A334">
        <v>326</v>
      </c>
      <c r="B334">
        <v>44</v>
      </c>
      <c r="C334" t="s">
        <v>662</v>
      </c>
      <c r="D334" t="s">
        <v>663</v>
      </c>
      <c r="E334">
        <v>26</v>
      </c>
      <c r="F334">
        <v>114.74</v>
      </c>
      <c r="G334" s="2">
        <v>38497.157777777778</v>
      </c>
      <c r="I334">
        <v>326</v>
      </c>
      <c r="J334">
        <v>145</v>
      </c>
      <c r="K334" t="s">
        <v>524</v>
      </c>
      <c r="L334" t="s">
        <v>525</v>
      </c>
      <c r="M334">
        <v>28</v>
      </c>
      <c r="N334">
        <v>108.72</v>
      </c>
      <c r="O334" s="2">
        <v>38497.157777777778</v>
      </c>
    </row>
    <row r="335" spans="1:15" x14ac:dyDescent="0.25">
      <c r="A335">
        <v>327</v>
      </c>
      <c r="B335">
        <v>171</v>
      </c>
      <c r="C335" t="s">
        <v>679</v>
      </c>
      <c r="D335" t="s">
        <v>680</v>
      </c>
      <c r="E335">
        <v>26</v>
      </c>
      <c r="F335">
        <v>114.74</v>
      </c>
      <c r="G335" s="2">
        <v>38501.757222222222</v>
      </c>
      <c r="I335">
        <v>327</v>
      </c>
      <c r="J335">
        <v>275</v>
      </c>
      <c r="K335" t="s">
        <v>384</v>
      </c>
      <c r="L335" t="s">
        <v>385</v>
      </c>
      <c r="M335">
        <v>30</v>
      </c>
      <c r="N335">
        <v>108.7</v>
      </c>
      <c r="O335" s="2">
        <v>38501.757222222222</v>
      </c>
    </row>
    <row r="336" spans="1:15" x14ac:dyDescent="0.25">
      <c r="A336">
        <v>328</v>
      </c>
      <c r="B336">
        <v>294</v>
      </c>
      <c r="C336" t="s">
        <v>704</v>
      </c>
      <c r="D336" t="s">
        <v>705</v>
      </c>
      <c r="E336">
        <v>26</v>
      </c>
      <c r="F336">
        <v>113.74</v>
      </c>
      <c r="G336" s="2">
        <v>38500.58326388889</v>
      </c>
      <c r="I336">
        <v>328</v>
      </c>
      <c r="J336">
        <v>246</v>
      </c>
      <c r="K336" t="s">
        <v>953</v>
      </c>
      <c r="L336" t="s">
        <v>954</v>
      </c>
      <c r="M336">
        <v>23</v>
      </c>
      <c r="N336">
        <v>107.77</v>
      </c>
      <c r="O336" s="2">
        <v>38500.58326388889</v>
      </c>
    </row>
    <row r="337" spans="1:15" x14ac:dyDescent="0.25">
      <c r="A337">
        <v>329</v>
      </c>
      <c r="B337">
        <v>486</v>
      </c>
      <c r="C337" t="s">
        <v>739</v>
      </c>
      <c r="D337" t="s">
        <v>740</v>
      </c>
      <c r="E337">
        <v>26</v>
      </c>
      <c r="F337">
        <v>113.74</v>
      </c>
      <c r="G337" s="2">
        <v>38502.446967592594</v>
      </c>
      <c r="I337">
        <v>329</v>
      </c>
      <c r="J337">
        <v>249</v>
      </c>
      <c r="K337" t="s">
        <v>955</v>
      </c>
      <c r="L337" t="s">
        <v>956</v>
      </c>
      <c r="M337">
        <v>23</v>
      </c>
      <c r="N337">
        <v>107.77</v>
      </c>
      <c r="O337" s="2">
        <v>38502.446967592594</v>
      </c>
    </row>
    <row r="338" spans="1:15" x14ac:dyDescent="0.25">
      <c r="A338">
        <v>330</v>
      </c>
      <c r="B338">
        <v>593</v>
      </c>
      <c r="C338" t="s">
        <v>759</v>
      </c>
      <c r="D338" t="s">
        <v>760</v>
      </c>
      <c r="E338">
        <v>26</v>
      </c>
      <c r="F338">
        <v>113.74</v>
      </c>
      <c r="G338" s="2">
        <v>38501.680196759262</v>
      </c>
      <c r="I338">
        <v>330</v>
      </c>
      <c r="J338">
        <v>127</v>
      </c>
      <c r="K338" t="s">
        <v>873</v>
      </c>
      <c r="L338" t="s">
        <v>874</v>
      </c>
      <c r="M338">
        <v>24</v>
      </c>
      <c r="N338">
        <v>107.76</v>
      </c>
      <c r="O338" s="2">
        <v>38501.680196759262</v>
      </c>
    </row>
    <row r="339" spans="1:15" x14ac:dyDescent="0.25">
      <c r="A339">
        <v>331</v>
      </c>
      <c r="B339">
        <v>327</v>
      </c>
      <c r="C339" t="s">
        <v>713</v>
      </c>
      <c r="D339" t="s">
        <v>714</v>
      </c>
      <c r="E339">
        <v>26</v>
      </c>
      <c r="F339">
        <v>112.74</v>
      </c>
      <c r="G339" s="2">
        <v>38500.841898148145</v>
      </c>
      <c r="I339">
        <v>331</v>
      </c>
      <c r="J339">
        <v>553</v>
      </c>
      <c r="K339" t="s">
        <v>912</v>
      </c>
      <c r="L339" t="s">
        <v>913</v>
      </c>
      <c r="M339">
        <v>24</v>
      </c>
      <c r="N339">
        <v>107.76</v>
      </c>
      <c r="O339" s="2">
        <v>38500.841898148145</v>
      </c>
    </row>
    <row r="340" spans="1:15" x14ac:dyDescent="0.25">
      <c r="A340">
        <v>332</v>
      </c>
      <c r="B340">
        <v>234</v>
      </c>
      <c r="C340" t="s">
        <v>694</v>
      </c>
      <c r="D340" t="s">
        <v>695</v>
      </c>
      <c r="E340">
        <v>26</v>
      </c>
      <c r="F340">
        <v>111.74</v>
      </c>
      <c r="G340" s="2">
        <v>38503.724814814814</v>
      </c>
      <c r="I340">
        <v>332</v>
      </c>
      <c r="J340">
        <v>109</v>
      </c>
      <c r="K340" t="s">
        <v>668</v>
      </c>
      <c r="L340" t="s">
        <v>669</v>
      </c>
      <c r="M340">
        <v>26</v>
      </c>
      <c r="N340">
        <v>107.74</v>
      </c>
      <c r="O340" s="2">
        <v>38503.724814814814</v>
      </c>
    </row>
    <row r="341" spans="1:15" x14ac:dyDescent="0.25">
      <c r="A341">
        <v>333</v>
      </c>
      <c r="B341">
        <v>518</v>
      </c>
      <c r="C341" t="s">
        <v>751</v>
      </c>
      <c r="D341" t="s">
        <v>752</v>
      </c>
      <c r="E341">
        <v>26</v>
      </c>
      <c r="F341">
        <v>111.74</v>
      </c>
      <c r="G341" s="2">
        <v>38501.158750000002</v>
      </c>
      <c r="I341">
        <v>333</v>
      </c>
      <c r="J341">
        <v>261</v>
      </c>
      <c r="K341" t="s">
        <v>698</v>
      </c>
      <c r="L341" t="s">
        <v>699</v>
      </c>
      <c r="M341">
        <v>26</v>
      </c>
      <c r="N341">
        <v>107.74</v>
      </c>
      <c r="O341" s="2">
        <v>38501.158750000002</v>
      </c>
    </row>
    <row r="342" spans="1:15" x14ac:dyDescent="0.25">
      <c r="A342">
        <v>334</v>
      </c>
      <c r="B342">
        <v>231</v>
      </c>
      <c r="C342" t="s">
        <v>692</v>
      </c>
      <c r="D342" t="s">
        <v>693</v>
      </c>
      <c r="E342">
        <v>26</v>
      </c>
      <c r="F342">
        <v>110.74</v>
      </c>
      <c r="G342" s="2">
        <v>38499.081412037034</v>
      </c>
      <c r="I342">
        <v>334</v>
      </c>
      <c r="J342">
        <v>581</v>
      </c>
      <c r="K342" t="s">
        <v>652</v>
      </c>
      <c r="L342" t="s">
        <v>653</v>
      </c>
      <c r="M342">
        <v>27</v>
      </c>
      <c r="N342">
        <v>107.73</v>
      </c>
      <c r="O342" s="2">
        <v>38499.081412037034</v>
      </c>
    </row>
    <row r="343" spans="1:15" x14ac:dyDescent="0.25">
      <c r="A343">
        <v>335</v>
      </c>
      <c r="B343">
        <v>121</v>
      </c>
      <c r="C343" t="s">
        <v>672</v>
      </c>
      <c r="D343" t="s">
        <v>673</v>
      </c>
      <c r="E343">
        <v>26</v>
      </c>
      <c r="F343">
        <v>109.74</v>
      </c>
      <c r="G343" s="2">
        <v>38498.391967592594</v>
      </c>
      <c r="I343">
        <v>335</v>
      </c>
      <c r="J343">
        <v>52</v>
      </c>
      <c r="K343" t="s">
        <v>438</v>
      </c>
      <c r="L343" t="s">
        <v>439</v>
      </c>
      <c r="M343">
        <v>29</v>
      </c>
      <c r="N343">
        <v>107.71</v>
      </c>
      <c r="O343" s="2">
        <v>38498.391967592594</v>
      </c>
    </row>
    <row r="344" spans="1:15" x14ac:dyDescent="0.25">
      <c r="A344">
        <v>336</v>
      </c>
      <c r="B344">
        <v>587</v>
      </c>
      <c r="C344" t="s">
        <v>757</v>
      </c>
      <c r="D344" t="s">
        <v>758</v>
      </c>
      <c r="E344">
        <v>26</v>
      </c>
      <c r="F344">
        <v>108.74</v>
      </c>
      <c r="G344" s="2">
        <v>38498.199374999997</v>
      </c>
      <c r="I344">
        <v>336</v>
      </c>
      <c r="J344">
        <v>418</v>
      </c>
      <c r="K344" t="s">
        <v>412</v>
      </c>
      <c r="L344" t="s">
        <v>413</v>
      </c>
      <c r="M344">
        <v>30</v>
      </c>
      <c r="N344">
        <v>107.7</v>
      </c>
      <c r="O344" s="2">
        <v>38498.199374999997</v>
      </c>
    </row>
    <row r="345" spans="1:15" x14ac:dyDescent="0.25">
      <c r="A345">
        <v>337</v>
      </c>
      <c r="B345">
        <v>109</v>
      </c>
      <c r="C345" t="s">
        <v>668</v>
      </c>
      <c r="D345" t="s">
        <v>669</v>
      </c>
      <c r="E345">
        <v>26</v>
      </c>
      <c r="F345">
        <v>107.74</v>
      </c>
      <c r="G345" s="2">
        <v>38498.311076388891</v>
      </c>
      <c r="I345">
        <v>337</v>
      </c>
      <c r="J345">
        <v>452</v>
      </c>
      <c r="K345" t="s">
        <v>287</v>
      </c>
      <c r="L345" t="s">
        <v>288</v>
      </c>
      <c r="M345">
        <v>32</v>
      </c>
      <c r="N345">
        <v>107.68</v>
      </c>
      <c r="O345" s="2">
        <v>38498.311076388891</v>
      </c>
    </row>
    <row r="346" spans="1:15" x14ac:dyDescent="0.25">
      <c r="A346">
        <v>338</v>
      </c>
      <c r="B346">
        <v>261</v>
      </c>
      <c r="C346" t="s">
        <v>698</v>
      </c>
      <c r="D346" t="s">
        <v>699</v>
      </c>
      <c r="E346">
        <v>26</v>
      </c>
      <c r="F346">
        <v>107.74</v>
      </c>
      <c r="G346" s="2">
        <v>38497.013506944444</v>
      </c>
      <c r="I346">
        <v>338</v>
      </c>
      <c r="J346">
        <v>341</v>
      </c>
      <c r="K346" t="s">
        <v>966</v>
      </c>
      <c r="L346" t="s">
        <v>967</v>
      </c>
      <c r="M346">
        <v>23</v>
      </c>
      <c r="N346">
        <v>106.77</v>
      </c>
      <c r="O346" s="2">
        <v>38497.013506944444</v>
      </c>
    </row>
    <row r="347" spans="1:15" x14ac:dyDescent="0.25">
      <c r="A347">
        <v>339</v>
      </c>
      <c r="B347">
        <v>31</v>
      </c>
      <c r="C347" t="s">
        <v>660</v>
      </c>
      <c r="D347" t="s">
        <v>661</v>
      </c>
      <c r="E347">
        <v>26</v>
      </c>
      <c r="F347">
        <v>104.74</v>
      </c>
      <c r="G347" s="2">
        <v>38519.420601851853</v>
      </c>
      <c r="I347">
        <v>339</v>
      </c>
      <c r="J347">
        <v>345</v>
      </c>
      <c r="K347" t="s">
        <v>968</v>
      </c>
      <c r="L347" t="s">
        <v>969</v>
      </c>
      <c r="M347">
        <v>23</v>
      </c>
      <c r="N347">
        <v>106.77</v>
      </c>
      <c r="O347" s="2">
        <v>38519.420601851853</v>
      </c>
    </row>
    <row r="348" spans="1:15" x14ac:dyDescent="0.25">
      <c r="A348">
        <v>340</v>
      </c>
      <c r="B348">
        <v>312</v>
      </c>
      <c r="C348" t="s">
        <v>397</v>
      </c>
      <c r="D348" t="s">
        <v>712</v>
      </c>
      <c r="E348">
        <v>26</v>
      </c>
      <c r="F348">
        <v>104.74</v>
      </c>
      <c r="G348" s="2">
        <v>38498.471759259257</v>
      </c>
      <c r="I348">
        <v>340</v>
      </c>
      <c r="J348">
        <v>379</v>
      </c>
      <c r="K348" t="s">
        <v>978</v>
      </c>
      <c r="L348" t="s">
        <v>979</v>
      </c>
      <c r="M348">
        <v>23</v>
      </c>
      <c r="N348">
        <v>106.77</v>
      </c>
      <c r="O348" s="2">
        <v>38498.471759259257</v>
      </c>
    </row>
    <row r="349" spans="1:15" x14ac:dyDescent="0.25">
      <c r="A349">
        <v>341</v>
      </c>
      <c r="B349">
        <v>425</v>
      </c>
      <c r="C349" t="s">
        <v>731</v>
      </c>
      <c r="D349" t="s">
        <v>732</v>
      </c>
      <c r="E349">
        <v>26</v>
      </c>
      <c r="F349">
        <v>104.74</v>
      </c>
      <c r="G349" s="2">
        <v>38503.577638888892</v>
      </c>
      <c r="I349">
        <v>341</v>
      </c>
      <c r="J349">
        <v>11</v>
      </c>
      <c r="K349" t="s">
        <v>854</v>
      </c>
      <c r="L349" t="s">
        <v>855</v>
      </c>
      <c r="M349">
        <v>24</v>
      </c>
      <c r="N349">
        <v>106.76</v>
      </c>
      <c r="O349" s="2">
        <v>38503.577638888892</v>
      </c>
    </row>
    <row r="350" spans="1:15" x14ac:dyDescent="0.25">
      <c r="A350">
        <v>342</v>
      </c>
      <c r="B350">
        <v>202</v>
      </c>
      <c r="C350" t="s">
        <v>683</v>
      </c>
      <c r="D350" t="s">
        <v>684</v>
      </c>
      <c r="E350">
        <v>26</v>
      </c>
      <c r="F350">
        <v>103.74</v>
      </c>
      <c r="G350" s="2">
        <v>38518.872013888889</v>
      </c>
      <c r="I350">
        <v>342</v>
      </c>
      <c r="J350">
        <v>98</v>
      </c>
      <c r="K350" t="s">
        <v>773</v>
      </c>
      <c r="L350" t="s">
        <v>774</v>
      </c>
      <c r="M350">
        <v>25</v>
      </c>
      <c r="N350">
        <v>106.75</v>
      </c>
      <c r="O350" s="2">
        <v>38518.872013888889</v>
      </c>
    </row>
    <row r="351" spans="1:15" x14ac:dyDescent="0.25">
      <c r="A351">
        <v>343</v>
      </c>
      <c r="B351">
        <v>445</v>
      </c>
      <c r="C351" t="s">
        <v>733</v>
      </c>
      <c r="D351" t="s">
        <v>734</v>
      </c>
      <c r="E351">
        <v>26</v>
      </c>
      <c r="F351">
        <v>102.74</v>
      </c>
      <c r="G351" s="2">
        <v>38499.951006944444</v>
      </c>
      <c r="I351">
        <v>343</v>
      </c>
      <c r="J351">
        <v>160</v>
      </c>
      <c r="K351" t="s">
        <v>607</v>
      </c>
      <c r="L351" t="s">
        <v>608</v>
      </c>
      <c r="M351">
        <v>27</v>
      </c>
      <c r="N351">
        <v>106.73</v>
      </c>
      <c r="O351" s="2">
        <v>38499.951006944444</v>
      </c>
    </row>
    <row r="352" spans="1:15" x14ac:dyDescent="0.25">
      <c r="A352">
        <v>344</v>
      </c>
      <c r="B352">
        <v>219</v>
      </c>
      <c r="C352" t="s">
        <v>688</v>
      </c>
      <c r="D352" t="s">
        <v>689</v>
      </c>
      <c r="E352">
        <v>26</v>
      </c>
      <c r="F352">
        <v>101.74</v>
      </c>
      <c r="G352" s="2">
        <v>38499.616898148146</v>
      </c>
      <c r="I352">
        <v>344</v>
      </c>
      <c r="J352">
        <v>381</v>
      </c>
      <c r="K352" t="s">
        <v>142</v>
      </c>
      <c r="L352" t="s">
        <v>143</v>
      </c>
      <c r="M352">
        <v>35</v>
      </c>
      <c r="N352">
        <v>106.65</v>
      </c>
      <c r="O352" s="2">
        <v>38499.616898148146</v>
      </c>
    </row>
    <row r="353" spans="1:15" x14ac:dyDescent="0.25">
      <c r="A353">
        <v>345</v>
      </c>
      <c r="B353">
        <v>298</v>
      </c>
      <c r="C353" t="s">
        <v>706</v>
      </c>
      <c r="D353" t="s">
        <v>707</v>
      </c>
      <c r="E353">
        <v>26</v>
      </c>
      <c r="F353">
        <v>101.74</v>
      </c>
      <c r="G353" s="2">
        <v>38499.42523148148</v>
      </c>
      <c r="I353">
        <v>345</v>
      </c>
      <c r="J353">
        <v>429</v>
      </c>
      <c r="K353" t="s">
        <v>1100</v>
      </c>
      <c r="L353" t="s">
        <v>1101</v>
      </c>
      <c r="M353">
        <v>21</v>
      </c>
      <c r="N353">
        <v>105.79</v>
      </c>
      <c r="O353" s="2">
        <v>38499.42523148148</v>
      </c>
    </row>
    <row r="354" spans="1:15" x14ac:dyDescent="0.25">
      <c r="A354">
        <v>346</v>
      </c>
      <c r="B354">
        <v>385</v>
      </c>
      <c r="C354" t="s">
        <v>719</v>
      </c>
      <c r="D354" t="s">
        <v>720</v>
      </c>
      <c r="E354">
        <v>26</v>
      </c>
      <c r="F354">
        <v>101.74</v>
      </c>
      <c r="G354" s="2">
        <v>38502.477152777778</v>
      </c>
      <c r="I354">
        <v>346</v>
      </c>
      <c r="J354">
        <v>150</v>
      </c>
      <c r="K354" t="s">
        <v>775</v>
      </c>
      <c r="L354" t="s">
        <v>776</v>
      </c>
      <c r="M354">
        <v>25</v>
      </c>
      <c r="N354">
        <v>105.75</v>
      </c>
      <c r="O354" s="2">
        <v>38502.477152777778</v>
      </c>
    </row>
    <row r="355" spans="1:15" x14ac:dyDescent="0.25">
      <c r="A355">
        <v>347</v>
      </c>
      <c r="B355">
        <v>387</v>
      </c>
      <c r="C355" t="s">
        <v>721</v>
      </c>
      <c r="D355" t="s">
        <v>722</v>
      </c>
      <c r="E355">
        <v>26</v>
      </c>
      <c r="F355">
        <v>101.74</v>
      </c>
      <c r="G355" s="2">
        <v>38498.884560185186</v>
      </c>
      <c r="I355">
        <v>347</v>
      </c>
      <c r="J355">
        <v>308</v>
      </c>
      <c r="K355" t="s">
        <v>505</v>
      </c>
      <c r="L355" t="s">
        <v>800</v>
      </c>
      <c r="M355">
        <v>25</v>
      </c>
      <c r="N355">
        <v>105.75</v>
      </c>
      <c r="O355" s="2">
        <v>38498.884560185186</v>
      </c>
    </row>
    <row r="356" spans="1:15" x14ac:dyDescent="0.25">
      <c r="A356">
        <v>348</v>
      </c>
      <c r="B356">
        <v>303</v>
      </c>
      <c r="C356" t="s">
        <v>708</v>
      </c>
      <c r="D356" t="s">
        <v>709</v>
      </c>
      <c r="E356">
        <v>26</v>
      </c>
      <c r="F356">
        <v>100.74</v>
      </c>
      <c r="G356" s="2">
        <v>38498.671967592592</v>
      </c>
      <c r="I356">
        <v>348</v>
      </c>
      <c r="J356">
        <v>414</v>
      </c>
      <c r="K356" t="s">
        <v>812</v>
      </c>
      <c r="L356" t="s">
        <v>813</v>
      </c>
      <c r="M356">
        <v>25</v>
      </c>
      <c r="N356">
        <v>105.75</v>
      </c>
      <c r="O356" s="2">
        <v>38498.671967592592</v>
      </c>
    </row>
    <row r="357" spans="1:15" x14ac:dyDescent="0.25">
      <c r="A357">
        <v>349</v>
      </c>
      <c r="B357">
        <v>474</v>
      </c>
      <c r="C357" t="s">
        <v>737</v>
      </c>
      <c r="D357" t="s">
        <v>738</v>
      </c>
      <c r="E357">
        <v>26</v>
      </c>
      <c r="F357">
        <v>100.74</v>
      </c>
      <c r="G357" s="2">
        <v>38501.851840277777</v>
      </c>
      <c r="I357">
        <v>349</v>
      </c>
      <c r="J357">
        <v>517</v>
      </c>
      <c r="K357" t="s">
        <v>832</v>
      </c>
      <c r="L357" t="s">
        <v>833</v>
      </c>
      <c r="M357">
        <v>25</v>
      </c>
      <c r="N357">
        <v>105.75</v>
      </c>
      <c r="O357" s="2">
        <v>38501.851840277777</v>
      </c>
    </row>
    <row r="358" spans="1:15" x14ac:dyDescent="0.25">
      <c r="A358">
        <v>350</v>
      </c>
      <c r="B358">
        <v>10</v>
      </c>
      <c r="C358" t="s">
        <v>761</v>
      </c>
      <c r="D358" t="s">
        <v>762</v>
      </c>
      <c r="E358">
        <v>25</v>
      </c>
      <c r="F358">
        <v>99.75</v>
      </c>
      <c r="G358" s="2">
        <v>38503.817013888889</v>
      </c>
      <c r="I358">
        <v>350</v>
      </c>
      <c r="J358">
        <v>96</v>
      </c>
      <c r="K358" t="s">
        <v>598</v>
      </c>
      <c r="L358" t="s">
        <v>109</v>
      </c>
      <c r="M358">
        <v>27</v>
      </c>
      <c r="N358">
        <v>105.73</v>
      </c>
      <c r="O358" s="2">
        <v>38503.817013888889</v>
      </c>
    </row>
    <row r="359" spans="1:15" x14ac:dyDescent="0.25">
      <c r="A359">
        <v>351</v>
      </c>
      <c r="B359">
        <v>597</v>
      </c>
      <c r="C359" t="s">
        <v>850</v>
      </c>
      <c r="D359" t="s">
        <v>851</v>
      </c>
      <c r="E359">
        <v>25</v>
      </c>
      <c r="F359">
        <v>99.75</v>
      </c>
      <c r="G359" s="2">
        <v>38497.180185185185</v>
      </c>
      <c r="I359">
        <v>351</v>
      </c>
      <c r="J359">
        <v>397</v>
      </c>
      <c r="K359" t="s">
        <v>473</v>
      </c>
      <c r="L359" t="s">
        <v>474</v>
      </c>
      <c r="M359">
        <v>29</v>
      </c>
      <c r="N359">
        <v>105.71</v>
      </c>
      <c r="O359" s="2">
        <v>38497.180185185185</v>
      </c>
    </row>
    <row r="360" spans="1:15" x14ac:dyDescent="0.25">
      <c r="A360">
        <v>352</v>
      </c>
      <c r="B360">
        <v>60</v>
      </c>
      <c r="C360" t="s">
        <v>765</v>
      </c>
      <c r="D360" t="s">
        <v>766</v>
      </c>
      <c r="E360">
        <v>25</v>
      </c>
      <c r="F360">
        <v>98.75</v>
      </c>
      <c r="G360" s="2">
        <v>38498.984479166669</v>
      </c>
      <c r="I360">
        <v>352</v>
      </c>
      <c r="J360">
        <v>247</v>
      </c>
      <c r="K360" t="s">
        <v>1030</v>
      </c>
      <c r="L360" t="s">
        <v>1031</v>
      </c>
      <c r="M360">
        <v>22</v>
      </c>
      <c r="N360">
        <v>104.78</v>
      </c>
      <c r="O360" s="2">
        <v>38498.984479166669</v>
      </c>
    </row>
    <row r="361" spans="1:15" x14ac:dyDescent="0.25">
      <c r="A361">
        <v>353</v>
      </c>
      <c r="B361">
        <v>264</v>
      </c>
      <c r="C361" t="s">
        <v>795</v>
      </c>
      <c r="D361" t="s">
        <v>796</v>
      </c>
      <c r="E361">
        <v>25</v>
      </c>
      <c r="F361">
        <v>98.75</v>
      </c>
      <c r="G361" s="2">
        <v>38517.969756944447</v>
      </c>
      <c r="I361">
        <v>353</v>
      </c>
      <c r="J361">
        <v>409</v>
      </c>
      <c r="K361" t="s">
        <v>982</v>
      </c>
      <c r="L361" t="s">
        <v>983</v>
      </c>
      <c r="M361">
        <v>23</v>
      </c>
      <c r="N361">
        <v>104.77</v>
      </c>
      <c r="O361" s="2">
        <v>38517.969756944447</v>
      </c>
    </row>
    <row r="362" spans="1:15" x14ac:dyDescent="0.25">
      <c r="A362">
        <v>354</v>
      </c>
      <c r="B362">
        <v>69</v>
      </c>
      <c r="C362" t="s">
        <v>769</v>
      </c>
      <c r="D362" t="s">
        <v>770</v>
      </c>
      <c r="E362">
        <v>25</v>
      </c>
      <c r="F362">
        <v>96.75</v>
      </c>
      <c r="G362" s="2">
        <v>38500.492361111108</v>
      </c>
      <c r="I362">
        <v>354</v>
      </c>
      <c r="J362">
        <v>466</v>
      </c>
      <c r="K362" t="s">
        <v>994</v>
      </c>
      <c r="L362" t="s">
        <v>995</v>
      </c>
      <c r="M362">
        <v>23</v>
      </c>
      <c r="N362">
        <v>104.77</v>
      </c>
      <c r="O362" s="2">
        <v>38500.492361111108</v>
      </c>
    </row>
    <row r="363" spans="1:15" x14ac:dyDescent="0.25">
      <c r="A363">
        <v>355</v>
      </c>
      <c r="B363">
        <v>326</v>
      </c>
      <c r="C363" t="s">
        <v>803</v>
      </c>
      <c r="D363" t="s">
        <v>628</v>
      </c>
      <c r="E363">
        <v>25</v>
      </c>
      <c r="F363">
        <v>96.75</v>
      </c>
      <c r="G363" s="2">
        <v>38502.235000000001</v>
      </c>
      <c r="I363">
        <v>355</v>
      </c>
      <c r="J363">
        <v>270</v>
      </c>
      <c r="K363" t="s">
        <v>797</v>
      </c>
      <c r="L363" t="s">
        <v>73</v>
      </c>
      <c r="M363">
        <v>25</v>
      </c>
      <c r="N363">
        <v>104.75</v>
      </c>
      <c r="O363" s="2">
        <v>38502.235000000001</v>
      </c>
    </row>
    <row r="364" spans="1:15" x14ac:dyDescent="0.25">
      <c r="A364">
        <v>356</v>
      </c>
      <c r="B364">
        <v>24</v>
      </c>
      <c r="C364" t="s">
        <v>763</v>
      </c>
      <c r="D364" t="s">
        <v>635</v>
      </c>
      <c r="E364">
        <v>25</v>
      </c>
      <c r="F364">
        <v>95.75</v>
      </c>
      <c r="G364" s="2">
        <v>38503.043379629627</v>
      </c>
      <c r="I364">
        <v>356</v>
      </c>
      <c r="J364">
        <v>31</v>
      </c>
      <c r="K364" t="s">
        <v>660</v>
      </c>
      <c r="L364" t="s">
        <v>661</v>
      </c>
      <c r="M364">
        <v>26</v>
      </c>
      <c r="N364">
        <v>104.74</v>
      </c>
      <c r="O364" s="2">
        <v>38503.043379629627</v>
      </c>
    </row>
    <row r="365" spans="1:15" x14ac:dyDescent="0.25">
      <c r="A365">
        <v>357</v>
      </c>
      <c r="B365">
        <v>232</v>
      </c>
      <c r="C365" t="s">
        <v>791</v>
      </c>
      <c r="D365" t="s">
        <v>792</v>
      </c>
      <c r="E365">
        <v>25</v>
      </c>
      <c r="F365">
        <v>95.75</v>
      </c>
      <c r="G365" s="2">
        <v>38497.154594907406</v>
      </c>
      <c r="I365">
        <v>357</v>
      </c>
      <c r="J365">
        <v>312</v>
      </c>
      <c r="K365" t="s">
        <v>397</v>
      </c>
      <c r="L365" t="s">
        <v>712</v>
      </c>
      <c r="M365">
        <v>26</v>
      </c>
      <c r="N365">
        <v>104.74</v>
      </c>
      <c r="O365" s="2">
        <v>38497.154594907406</v>
      </c>
    </row>
    <row r="366" spans="1:15" x14ac:dyDescent="0.25">
      <c r="A366">
        <v>358</v>
      </c>
      <c r="B366">
        <v>507</v>
      </c>
      <c r="C366" t="s">
        <v>828</v>
      </c>
      <c r="D366" t="s">
        <v>829</v>
      </c>
      <c r="E366">
        <v>25</v>
      </c>
      <c r="F366">
        <v>95.75</v>
      </c>
      <c r="G366" s="2">
        <v>38497.285752314812</v>
      </c>
      <c r="I366">
        <v>358</v>
      </c>
      <c r="J366">
        <v>425</v>
      </c>
      <c r="K366" t="s">
        <v>731</v>
      </c>
      <c r="L366" t="s">
        <v>732</v>
      </c>
      <c r="M366">
        <v>26</v>
      </c>
      <c r="N366">
        <v>104.74</v>
      </c>
      <c r="O366" s="2">
        <v>38497.285752314812</v>
      </c>
    </row>
    <row r="367" spans="1:15" x14ac:dyDescent="0.25">
      <c r="A367">
        <v>359</v>
      </c>
      <c r="B367">
        <v>330</v>
      </c>
      <c r="C367" t="s">
        <v>804</v>
      </c>
      <c r="D367" t="s">
        <v>805</v>
      </c>
      <c r="E367">
        <v>25</v>
      </c>
      <c r="F367">
        <v>94.75</v>
      </c>
      <c r="G367" s="2">
        <v>38501.114386574074</v>
      </c>
      <c r="I367">
        <v>359</v>
      </c>
      <c r="J367">
        <v>391</v>
      </c>
      <c r="K367" t="s">
        <v>406</v>
      </c>
      <c r="L367" t="s">
        <v>407</v>
      </c>
      <c r="M367">
        <v>30</v>
      </c>
      <c r="N367">
        <v>104.7</v>
      </c>
      <c r="O367" s="2">
        <v>38501.114386574074</v>
      </c>
    </row>
    <row r="368" spans="1:15" x14ac:dyDescent="0.25">
      <c r="A368">
        <v>360</v>
      </c>
      <c r="B368">
        <v>229</v>
      </c>
      <c r="C368" t="s">
        <v>789</v>
      </c>
      <c r="D368" t="s">
        <v>790</v>
      </c>
      <c r="E368">
        <v>25</v>
      </c>
      <c r="F368">
        <v>93.75</v>
      </c>
      <c r="G368" s="2">
        <v>38521.082824074074</v>
      </c>
      <c r="I368">
        <v>360</v>
      </c>
      <c r="J368">
        <v>65</v>
      </c>
      <c r="K368" t="s">
        <v>310</v>
      </c>
      <c r="L368" t="s">
        <v>717</v>
      </c>
      <c r="M368">
        <v>22</v>
      </c>
      <c r="N368">
        <v>103.78</v>
      </c>
      <c r="O368" s="2">
        <v>38521.082824074074</v>
      </c>
    </row>
    <row r="369" spans="1:15" x14ac:dyDescent="0.25">
      <c r="A369">
        <v>361</v>
      </c>
      <c r="B369">
        <v>235</v>
      </c>
      <c r="C369" t="s">
        <v>793</v>
      </c>
      <c r="D369" t="s">
        <v>794</v>
      </c>
      <c r="E369">
        <v>25</v>
      </c>
      <c r="F369">
        <v>93.75</v>
      </c>
      <c r="G369" s="2">
        <v>38501.785300925927</v>
      </c>
      <c r="I369">
        <v>361</v>
      </c>
      <c r="J369">
        <v>365</v>
      </c>
      <c r="K369" t="s">
        <v>976</v>
      </c>
      <c r="L369" t="s">
        <v>977</v>
      </c>
      <c r="M369">
        <v>23</v>
      </c>
      <c r="N369">
        <v>103.77</v>
      </c>
      <c r="O369" s="2">
        <v>38501.785300925927</v>
      </c>
    </row>
    <row r="370" spans="1:15" x14ac:dyDescent="0.25">
      <c r="A370">
        <v>362</v>
      </c>
      <c r="B370">
        <v>188</v>
      </c>
      <c r="C370" t="s">
        <v>781</v>
      </c>
      <c r="D370" t="s">
        <v>782</v>
      </c>
      <c r="E370">
        <v>25</v>
      </c>
      <c r="F370">
        <v>92.75</v>
      </c>
      <c r="G370" s="2">
        <v>38519.021990740737</v>
      </c>
      <c r="I370">
        <v>362</v>
      </c>
      <c r="J370">
        <v>519</v>
      </c>
      <c r="K370" t="s">
        <v>998</v>
      </c>
      <c r="L370" t="s">
        <v>999</v>
      </c>
      <c r="M370">
        <v>23</v>
      </c>
      <c r="N370">
        <v>103.77</v>
      </c>
      <c r="O370" s="2">
        <v>38519.021990740737</v>
      </c>
    </row>
    <row r="371" spans="1:15" x14ac:dyDescent="0.25">
      <c r="A371">
        <v>363</v>
      </c>
      <c r="B371">
        <v>435</v>
      </c>
      <c r="C371" t="s">
        <v>820</v>
      </c>
      <c r="D371" t="s">
        <v>821</v>
      </c>
      <c r="E371">
        <v>25</v>
      </c>
      <c r="F371">
        <v>91.75</v>
      </c>
      <c r="G371" s="2">
        <v>38501.437349537038</v>
      </c>
      <c r="I371">
        <v>363</v>
      </c>
      <c r="J371">
        <v>475</v>
      </c>
      <c r="K371" t="s">
        <v>898</v>
      </c>
      <c r="L371" t="s">
        <v>899</v>
      </c>
      <c r="M371">
        <v>24</v>
      </c>
      <c r="N371">
        <v>103.76</v>
      </c>
      <c r="O371" s="2">
        <v>38501.437349537038</v>
      </c>
    </row>
    <row r="372" spans="1:15" x14ac:dyDescent="0.25">
      <c r="A372">
        <v>364</v>
      </c>
      <c r="B372">
        <v>463</v>
      </c>
      <c r="C372" t="s">
        <v>826</v>
      </c>
      <c r="D372" t="s">
        <v>827</v>
      </c>
      <c r="E372">
        <v>25</v>
      </c>
      <c r="F372">
        <v>91.75</v>
      </c>
      <c r="G372" s="2">
        <v>38500.370162037034</v>
      </c>
      <c r="I372">
        <v>364</v>
      </c>
      <c r="J372">
        <v>199</v>
      </c>
      <c r="K372" t="s">
        <v>785</v>
      </c>
      <c r="L372" t="s">
        <v>786</v>
      </c>
      <c r="M372">
        <v>25</v>
      </c>
      <c r="N372">
        <v>103.75</v>
      </c>
      <c r="O372" s="2">
        <v>38500.370162037034</v>
      </c>
    </row>
    <row r="373" spans="1:15" x14ac:dyDescent="0.25">
      <c r="A373">
        <v>365</v>
      </c>
      <c r="B373">
        <v>384</v>
      </c>
      <c r="C373" t="s">
        <v>810</v>
      </c>
      <c r="D373" t="s">
        <v>811</v>
      </c>
      <c r="E373">
        <v>25</v>
      </c>
      <c r="F373">
        <v>89.75</v>
      </c>
      <c r="G373" s="2">
        <v>38497.72965277778</v>
      </c>
      <c r="I373">
        <v>365</v>
      </c>
      <c r="J373">
        <v>324</v>
      </c>
      <c r="K373" t="s">
        <v>801</v>
      </c>
      <c r="L373" t="s">
        <v>802</v>
      </c>
      <c r="M373">
        <v>25</v>
      </c>
      <c r="N373">
        <v>103.75</v>
      </c>
      <c r="O373" s="2">
        <v>38497.72965277778</v>
      </c>
    </row>
    <row r="374" spans="1:15" x14ac:dyDescent="0.25">
      <c r="A374">
        <v>366</v>
      </c>
      <c r="B374">
        <v>419</v>
      </c>
      <c r="C374" t="s">
        <v>816</v>
      </c>
      <c r="D374" t="s">
        <v>817</v>
      </c>
      <c r="E374">
        <v>25</v>
      </c>
      <c r="F374">
        <v>89.75</v>
      </c>
      <c r="G374" s="2">
        <v>38497.388101851851</v>
      </c>
      <c r="I374">
        <v>366</v>
      </c>
      <c r="J374">
        <v>537</v>
      </c>
      <c r="K374" t="s">
        <v>839</v>
      </c>
      <c r="L374" t="s">
        <v>840</v>
      </c>
      <c r="M374">
        <v>25</v>
      </c>
      <c r="N374">
        <v>103.75</v>
      </c>
      <c r="O374" s="2">
        <v>38497.388101851851</v>
      </c>
    </row>
    <row r="375" spans="1:15" x14ac:dyDescent="0.25">
      <c r="A375">
        <v>367</v>
      </c>
      <c r="B375">
        <v>369</v>
      </c>
      <c r="C375" t="s">
        <v>808</v>
      </c>
      <c r="D375" t="s">
        <v>809</v>
      </c>
      <c r="E375">
        <v>25</v>
      </c>
      <c r="F375">
        <v>88.75</v>
      </c>
      <c r="G375" s="2">
        <v>38497.170335648145</v>
      </c>
      <c r="I375">
        <v>367</v>
      </c>
      <c r="J375">
        <v>546</v>
      </c>
      <c r="K375" t="s">
        <v>597</v>
      </c>
      <c r="L375" t="s">
        <v>841</v>
      </c>
      <c r="M375">
        <v>25</v>
      </c>
      <c r="N375">
        <v>103.75</v>
      </c>
      <c r="O375" s="2">
        <v>38497.170335648145</v>
      </c>
    </row>
    <row r="376" spans="1:15" x14ac:dyDescent="0.25">
      <c r="A376">
        <v>368</v>
      </c>
      <c r="B376">
        <v>433</v>
      </c>
      <c r="C376" t="s">
        <v>818</v>
      </c>
      <c r="D376" t="s">
        <v>819</v>
      </c>
      <c r="E376">
        <v>25</v>
      </c>
      <c r="F376">
        <v>133.75</v>
      </c>
      <c r="G376" s="2">
        <v>38498.004988425928</v>
      </c>
      <c r="I376">
        <v>368</v>
      </c>
      <c r="J376">
        <v>202</v>
      </c>
      <c r="K376" t="s">
        <v>683</v>
      </c>
      <c r="L376" t="s">
        <v>684</v>
      </c>
      <c r="M376">
        <v>26</v>
      </c>
      <c r="N376">
        <v>103.74</v>
      </c>
      <c r="O376" s="2">
        <v>38498.004988425928</v>
      </c>
    </row>
    <row r="377" spans="1:15" x14ac:dyDescent="0.25">
      <c r="A377">
        <v>369</v>
      </c>
      <c r="B377">
        <v>508</v>
      </c>
      <c r="C377" t="s">
        <v>830</v>
      </c>
      <c r="D377" t="s">
        <v>831</v>
      </c>
      <c r="E377">
        <v>25</v>
      </c>
      <c r="F377">
        <v>127.75</v>
      </c>
      <c r="G377" s="2">
        <v>38499.324178240742</v>
      </c>
      <c r="I377">
        <v>369</v>
      </c>
      <c r="J377">
        <v>74</v>
      </c>
      <c r="K377" t="s">
        <v>596</v>
      </c>
      <c r="L377" t="s">
        <v>597</v>
      </c>
      <c r="M377">
        <v>27</v>
      </c>
      <c r="N377">
        <v>103.73</v>
      </c>
      <c r="O377" s="2">
        <v>38499.324178240742</v>
      </c>
    </row>
    <row r="378" spans="1:15" x14ac:dyDescent="0.25">
      <c r="A378">
        <v>370</v>
      </c>
      <c r="B378">
        <v>41</v>
      </c>
      <c r="C378" t="s">
        <v>764</v>
      </c>
      <c r="D378" t="s">
        <v>293</v>
      </c>
      <c r="E378">
        <v>25</v>
      </c>
      <c r="F378">
        <v>118.75</v>
      </c>
      <c r="G378" s="2">
        <v>38522.141863425924</v>
      </c>
      <c r="I378">
        <v>370</v>
      </c>
      <c r="J378">
        <v>282</v>
      </c>
      <c r="K378" t="s">
        <v>620</v>
      </c>
      <c r="L378" t="s">
        <v>621</v>
      </c>
      <c r="M378">
        <v>27</v>
      </c>
      <c r="N378">
        <v>103.73</v>
      </c>
      <c r="O378" s="2">
        <v>38522.141863425924</v>
      </c>
    </row>
    <row r="379" spans="1:15" x14ac:dyDescent="0.25">
      <c r="A379">
        <v>371</v>
      </c>
      <c r="B379">
        <v>531</v>
      </c>
      <c r="C379" t="s">
        <v>444</v>
      </c>
      <c r="D379" t="s">
        <v>836</v>
      </c>
      <c r="E379">
        <v>25</v>
      </c>
      <c r="F379">
        <v>118.75</v>
      </c>
      <c r="G379" s="2">
        <v>38498.488703703704</v>
      </c>
      <c r="I379">
        <v>371</v>
      </c>
      <c r="J379">
        <v>383</v>
      </c>
      <c r="K379" t="s">
        <v>509</v>
      </c>
      <c r="L379" t="s">
        <v>630</v>
      </c>
      <c r="M379">
        <v>27</v>
      </c>
      <c r="N379">
        <v>103.73</v>
      </c>
      <c r="O379" s="2">
        <v>38498.488703703704</v>
      </c>
    </row>
    <row r="380" spans="1:15" x14ac:dyDescent="0.25">
      <c r="A380">
        <v>372</v>
      </c>
      <c r="B380">
        <v>536</v>
      </c>
      <c r="C380" t="s">
        <v>837</v>
      </c>
      <c r="D380" t="s">
        <v>838</v>
      </c>
      <c r="E380">
        <v>25</v>
      </c>
      <c r="F380">
        <v>117.75</v>
      </c>
      <c r="G380" s="2">
        <v>38498.510567129626</v>
      </c>
      <c r="I380">
        <v>372</v>
      </c>
      <c r="J380">
        <v>12</v>
      </c>
      <c r="K380" t="s">
        <v>504</v>
      </c>
      <c r="L380" t="s">
        <v>505</v>
      </c>
      <c r="M380">
        <v>28</v>
      </c>
      <c r="N380">
        <v>103.72</v>
      </c>
      <c r="O380" s="2">
        <v>38498.510567129626</v>
      </c>
    </row>
    <row r="381" spans="1:15" x14ac:dyDescent="0.25">
      <c r="A381">
        <v>373</v>
      </c>
      <c r="B381">
        <v>343</v>
      </c>
      <c r="C381" t="s">
        <v>89</v>
      </c>
      <c r="D381" t="s">
        <v>806</v>
      </c>
      <c r="E381">
        <v>25</v>
      </c>
      <c r="F381">
        <v>114.75</v>
      </c>
      <c r="G381" s="2">
        <v>38497.723726851851</v>
      </c>
      <c r="I381">
        <v>373</v>
      </c>
      <c r="J381">
        <v>374</v>
      </c>
      <c r="K381" t="s">
        <v>554</v>
      </c>
      <c r="L381" t="s">
        <v>555</v>
      </c>
      <c r="M381">
        <v>28</v>
      </c>
      <c r="N381">
        <v>103.72</v>
      </c>
      <c r="O381" s="2">
        <v>38497.723726851851</v>
      </c>
    </row>
    <row r="382" spans="1:15" x14ac:dyDescent="0.25">
      <c r="A382">
        <v>374</v>
      </c>
      <c r="B382">
        <v>582</v>
      </c>
      <c r="C382" t="s">
        <v>846</v>
      </c>
      <c r="D382" t="s">
        <v>847</v>
      </c>
      <c r="E382">
        <v>25</v>
      </c>
      <c r="F382">
        <v>113.75</v>
      </c>
      <c r="G382" s="2">
        <v>38498.784432870372</v>
      </c>
      <c r="I382">
        <v>374</v>
      </c>
      <c r="J382">
        <v>100</v>
      </c>
      <c r="K382" t="s">
        <v>865</v>
      </c>
      <c r="L382" t="s">
        <v>866</v>
      </c>
      <c r="M382">
        <v>24</v>
      </c>
      <c r="N382">
        <v>102.76</v>
      </c>
      <c r="O382" s="2">
        <v>38498.784432870372</v>
      </c>
    </row>
    <row r="383" spans="1:15" x14ac:dyDescent="0.25">
      <c r="A383">
        <v>375</v>
      </c>
      <c r="B383">
        <v>63</v>
      </c>
      <c r="C383" t="s">
        <v>767</v>
      </c>
      <c r="D383" t="s">
        <v>768</v>
      </c>
      <c r="E383">
        <v>25</v>
      </c>
      <c r="F383">
        <v>112.75</v>
      </c>
      <c r="G383" s="2">
        <v>38519.896226851852</v>
      </c>
      <c r="I383">
        <v>375</v>
      </c>
      <c r="J383">
        <v>445</v>
      </c>
      <c r="K383" t="s">
        <v>733</v>
      </c>
      <c r="L383" t="s">
        <v>734</v>
      </c>
      <c r="M383">
        <v>26</v>
      </c>
      <c r="N383">
        <v>102.74</v>
      </c>
      <c r="O383" s="2">
        <v>38519.896226851852</v>
      </c>
    </row>
    <row r="384" spans="1:15" x14ac:dyDescent="0.25">
      <c r="A384">
        <v>376</v>
      </c>
      <c r="B384">
        <v>590</v>
      </c>
      <c r="C384" t="s">
        <v>848</v>
      </c>
      <c r="D384" t="s">
        <v>849</v>
      </c>
      <c r="E384">
        <v>25</v>
      </c>
      <c r="F384">
        <v>112.75</v>
      </c>
      <c r="G384" s="2">
        <v>38500.594375000001</v>
      </c>
      <c r="I384">
        <v>376</v>
      </c>
      <c r="J384">
        <v>367</v>
      </c>
      <c r="K384" t="s">
        <v>570</v>
      </c>
      <c r="L384" t="s">
        <v>1038</v>
      </c>
      <c r="M384">
        <v>22</v>
      </c>
      <c r="N384">
        <v>101.78</v>
      </c>
      <c r="O384" s="2">
        <v>38500.594375000001</v>
      </c>
    </row>
    <row r="385" spans="1:15" x14ac:dyDescent="0.25">
      <c r="A385">
        <v>377</v>
      </c>
      <c r="B385">
        <v>528</v>
      </c>
      <c r="C385" t="s">
        <v>834</v>
      </c>
      <c r="D385" t="s">
        <v>835</v>
      </c>
      <c r="E385">
        <v>25</v>
      </c>
      <c r="F385">
        <v>111.75</v>
      </c>
      <c r="G385" s="2">
        <v>38498.312928240739</v>
      </c>
      <c r="I385">
        <v>377</v>
      </c>
      <c r="J385">
        <v>480</v>
      </c>
      <c r="K385" t="s">
        <v>1049</v>
      </c>
      <c r="L385" t="s">
        <v>1050</v>
      </c>
      <c r="M385">
        <v>22</v>
      </c>
      <c r="N385">
        <v>101.78</v>
      </c>
      <c r="O385" s="2">
        <v>38498.312928240739</v>
      </c>
    </row>
    <row r="386" spans="1:15" x14ac:dyDescent="0.25">
      <c r="A386">
        <v>378</v>
      </c>
      <c r="B386">
        <v>417</v>
      </c>
      <c r="C386" t="s">
        <v>814</v>
      </c>
      <c r="D386" t="s">
        <v>815</v>
      </c>
      <c r="E386">
        <v>25</v>
      </c>
      <c r="F386">
        <v>110.75</v>
      </c>
      <c r="G386" s="2">
        <v>38498.678020833337</v>
      </c>
      <c r="I386">
        <v>378</v>
      </c>
      <c r="J386">
        <v>554</v>
      </c>
      <c r="K386" t="s">
        <v>1061</v>
      </c>
      <c r="L386" t="s">
        <v>1062</v>
      </c>
      <c r="M386">
        <v>22</v>
      </c>
      <c r="N386">
        <v>101.78</v>
      </c>
      <c r="O386" s="2">
        <v>38498.678020833337</v>
      </c>
    </row>
    <row r="387" spans="1:15" x14ac:dyDescent="0.25">
      <c r="A387">
        <v>379</v>
      </c>
      <c r="B387">
        <v>155</v>
      </c>
      <c r="C387" t="s">
        <v>777</v>
      </c>
      <c r="D387" t="s">
        <v>778</v>
      </c>
      <c r="E387">
        <v>25</v>
      </c>
      <c r="F387">
        <v>109.75</v>
      </c>
      <c r="G387" s="2">
        <v>38500.415000000001</v>
      </c>
      <c r="I387">
        <v>379</v>
      </c>
      <c r="J387">
        <v>83</v>
      </c>
      <c r="K387" t="s">
        <v>771</v>
      </c>
      <c r="L387" t="s">
        <v>772</v>
      </c>
      <c r="M387">
        <v>25</v>
      </c>
      <c r="N387">
        <v>101.75</v>
      </c>
      <c r="O387" s="2">
        <v>38500.415000000001</v>
      </c>
    </row>
    <row r="388" spans="1:15" x14ac:dyDescent="0.25">
      <c r="A388">
        <v>380</v>
      </c>
      <c r="B388">
        <v>193</v>
      </c>
      <c r="C388" t="s">
        <v>783</v>
      </c>
      <c r="D388" t="s">
        <v>784</v>
      </c>
      <c r="E388">
        <v>25</v>
      </c>
      <c r="F388">
        <v>109.75</v>
      </c>
      <c r="G388" s="2">
        <v>38498.687222222223</v>
      </c>
      <c r="I388">
        <v>380</v>
      </c>
      <c r="J388">
        <v>156</v>
      </c>
      <c r="K388" t="s">
        <v>779</v>
      </c>
      <c r="L388" t="s">
        <v>780</v>
      </c>
      <c r="M388">
        <v>25</v>
      </c>
      <c r="N388">
        <v>101.75</v>
      </c>
      <c r="O388" s="2">
        <v>38498.687222222223</v>
      </c>
    </row>
    <row r="389" spans="1:15" x14ac:dyDescent="0.25">
      <c r="A389">
        <v>381</v>
      </c>
      <c r="B389">
        <v>305</v>
      </c>
      <c r="C389" t="s">
        <v>798</v>
      </c>
      <c r="D389" t="s">
        <v>799</v>
      </c>
      <c r="E389">
        <v>25</v>
      </c>
      <c r="F389">
        <v>109.75</v>
      </c>
      <c r="G389" s="2">
        <v>38497.423773148148</v>
      </c>
      <c r="I389">
        <v>381</v>
      </c>
      <c r="J389">
        <v>359</v>
      </c>
      <c r="K389" t="s">
        <v>688</v>
      </c>
      <c r="L389" t="s">
        <v>807</v>
      </c>
      <c r="M389">
        <v>25</v>
      </c>
      <c r="N389">
        <v>101.75</v>
      </c>
      <c r="O389" s="2">
        <v>38497.423773148148</v>
      </c>
    </row>
    <row r="390" spans="1:15" x14ac:dyDescent="0.25">
      <c r="A390">
        <v>382</v>
      </c>
      <c r="B390">
        <v>460</v>
      </c>
      <c r="C390" t="s">
        <v>824</v>
      </c>
      <c r="D390" t="s">
        <v>825</v>
      </c>
      <c r="E390">
        <v>25</v>
      </c>
      <c r="F390">
        <v>109.75</v>
      </c>
      <c r="G390" s="2">
        <v>38498.427349537036</v>
      </c>
      <c r="I390">
        <v>382</v>
      </c>
      <c r="J390">
        <v>219</v>
      </c>
      <c r="K390" t="s">
        <v>688</v>
      </c>
      <c r="L390" t="s">
        <v>689</v>
      </c>
      <c r="M390">
        <v>26</v>
      </c>
      <c r="N390">
        <v>101.74</v>
      </c>
      <c r="O390" s="2">
        <v>38498.427349537036</v>
      </c>
    </row>
    <row r="391" spans="1:15" x14ac:dyDescent="0.25">
      <c r="A391">
        <v>383</v>
      </c>
      <c r="B391">
        <v>562</v>
      </c>
      <c r="C391" t="s">
        <v>842</v>
      </c>
      <c r="D391" t="s">
        <v>843</v>
      </c>
      <c r="E391">
        <v>25</v>
      </c>
      <c r="F391">
        <v>109.75</v>
      </c>
      <c r="G391" s="2">
        <v>38501.67633101852</v>
      </c>
      <c r="I391">
        <v>383</v>
      </c>
      <c r="J391">
        <v>298</v>
      </c>
      <c r="K391" t="s">
        <v>706</v>
      </c>
      <c r="L391" t="s">
        <v>707</v>
      </c>
      <c r="M391">
        <v>26</v>
      </c>
      <c r="N391">
        <v>101.74</v>
      </c>
      <c r="O391" s="2">
        <v>38501.67633101852</v>
      </c>
    </row>
    <row r="392" spans="1:15" x14ac:dyDescent="0.25">
      <c r="A392">
        <v>384</v>
      </c>
      <c r="B392">
        <v>201</v>
      </c>
      <c r="C392" t="s">
        <v>787</v>
      </c>
      <c r="D392" t="s">
        <v>788</v>
      </c>
      <c r="E392">
        <v>25</v>
      </c>
      <c r="F392">
        <v>108.75</v>
      </c>
      <c r="G392" s="2">
        <v>38498.952511574076</v>
      </c>
      <c r="I392">
        <v>384</v>
      </c>
      <c r="J392">
        <v>385</v>
      </c>
      <c r="K392" t="s">
        <v>719</v>
      </c>
      <c r="L392" t="s">
        <v>720</v>
      </c>
      <c r="M392">
        <v>26</v>
      </c>
      <c r="N392">
        <v>101.74</v>
      </c>
      <c r="O392" s="2">
        <v>38498.952511574076</v>
      </c>
    </row>
    <row r="393" spans="1:15" x14ac:dyDescent="0.25">
      <c r="A393">
        <v>385</v>
      </c>
      <c r="B393">
        <v>572</v>
      </c>
      <c r="C393" t="s">
        <v>844</v>
      </c>
      <c r="D393" t="s">
        <v>845</v>
      </c>
      <c r="E393">
        <v>25</v>
      </c>
      <c r="F393">
        <v>108.75</v>
      </c>
      <c r="G393" s="2">
        <v>38500.360439814816</v>
      </c>
      <c r="I393">
        <v>385</v>
      </c>
      <c r="J393">
        <v>387</v>
      </c>
      <c r="K393" t="s">
        <v>721</v>
      </c>
      <c r="L393" t="s">
        <v>722</v>
      </c>
      <c r="M393">
        <v>26</v>
      </c>
      <c r="N393">
        <v>101.74</v>
      </c>
      <c r="O393" s="2">
        <v>38500.360439814816</v>
      </c>
    </row>
    <row r="394" spans="1:15" x14ac:dyDescent="0.25">
      <c r="A394">
        <v>386</v>
      </c>
      <c r="B394">
        <v>98</v>
      </c>
      <c r="C394" t="s">
        <v>773</v>
      </c>
      <c r="D394" t="s">
        <v>774</v>
      </c>
      <c r="E394">
        <v>25</v>
      </c>
      <c r="F394">
        <v>106.75</v>
      </c>
      <c r="G394" s="2">
        <v>38498.3672337963</v>
      </c>
      <c r="I394">
        <v>386</v>
      </c>
      <c r="J394">
        <v>509</v>
      </c>
      <c r="K394" t="s">
        <v>1140</v>
      </c>
      <c r="L394" t="s">
        <v>1141</v>
      </c>
      <c r="M394">
        <v>20</v>
      </c>
      <c r="N394">
        <v>100.8</v>
      </c>
      <c r="O394" s="2">
        <v>38498.3672337963</v>
      </c>
    </row>
    <row r="395" spans="1:15" x14ac:dyDescent="0.25">
      <c r="A395">
        <v>387</v>
      </c>
      <c r="B395">
        <v>150</v>
      </c>
      <c r="C395" t="s">
        <v>775</v>
      </c>
      <c r="D395" t="s">
        <v>776</v>
      </c>
      <c r="E395">
        <v>25</v>
      </c>
      <c r="F395">
        <v>105.75</v>
      </c>
      <c r="G395" s="2">
        <v>38499.647164351853</v>
      </c>
      <c r="I395">
        <v>387</v>
      </c>
      <c r="J395">
        <v>55</v>
      </c>
      <c r="K395" t="s">
        <v>1015</v>
      </c>
      <c r="L395" t="s">
        <v>1016</v>
      </c>
      <c r="M395">
        <v>22</v>
      </c>
      <c r="N395">
        <v>100.78</v>
      </c>
      <c r="O395" s="2">
        <v>38499.647164351853</v>
      </c>
    </row>
    <row r="396" spans="1:15" x14ac:dyDescent="0.25">
      <c r="A396">
        <v>388</v>
      </c>
      <c r="B396">
        <v>308</v>
      </c>
      <c r="C396" t="s">
        <v>505</v>
      </c>
      <c r="D396" t="s">
        <v>800</v>
      </c>
      <c r="E396">
        <v>25</v>
      </c>
      <c r="F396">
        <v>105.75</v>
      </c>
      <c r="G396" s="2">
        <v>38500.519328703704</v>
      </c>
      <c r="I396">
        <v>388</v>
      </c>
      <c r="J396">
        <v>106</v>
      </c>
      <c r="K396" t="s">
        <v>933</v>
      </c>
      <c r="L396" t="s">
        <v>842</v>
      </c>
      <c r="M396">
        <v>23</v>
      </c>
      <c r="N396">
        <v>100.77</v>
      </c>
      <c r="O396" s="2">
        <v>38500.519328703704</v>
      </c>
    </row>
    <row r="397" spans="1:15" x14ac:dyDescent="0.25">
      <c r="A397">
        <v>389</v>
      </c>
      <c r="B397">
        <v>414</v>
      </c>
      <c r="C397" t="s">
        <v>812</v>
      </c>
      <c r="D397" t="s">
        <v>813</v>
      </c>
      <c r="E397">
        <v>25</v>
      </c>
      <c r="F397">
        <v>105.75</v>
      </c>
      <c r="G397" s="2">
        <v>38497.545532407406</v>
      </c>
      <c r="I397">
        <v>389</v>
      </c>
      <c r="J397">
        <v>123</v>
      </c>
      <c r="K397" t="s">
        <v>871</v>
      </c>
      <c r="L397" t="s">
        <v>872</v>
      </c>
      <c r="M397">
        <v>24</v>
      </c>
      <c r="N397">
        <v>100.76</v>
      </c>
      <c r="O397" s="2">
        <v>38497.545532407406</v>
      </c>
    </row>
    <row r="398" spans="1:15" x14ac:dyDescent="0.25">
      <c r="A398">
        <v>390</v>
      </c>
      <c r="B398">
        <v>517</v>
      </c>
      <c r="C398" t="s">
        <v>832</v>
      </c>
      <c r="D398" t="s">
        <v>833</v>
      </c>
      <c r="E398">
        <v>25</v>
      </c>
      <c r="F398">
        <v>105.75</v>
      </c>
      <c r="G398" s="2">
        <v>38502.066111111111</v>
      </c>
      <c r="I398">
        <v>390</v>
      </c>
      <c r="J398">
        <v>456</v>
      </c>
      <c r="K398" t="s">
        <v>822</v>
      </c>
      <c r="L398" t="s">
        <v>823</v>
      </c>
      <c r="M398">
        <v>25</v>
      </c>
      <c r="N398">
        <v>100.75</v>
      </c>
      <c r="O398" s="2">
        <v>38502.066111111111</v>
      </c>
    </row>
    <row r="399" spans="1:15" x14ac:dyDescent="0.25">
      <c r="A399">
        <v>391</v>
      </c>
      <c r="B399">
        <v>270</v>
      </c>
      <c r="C399" t="s">
        <v>797</v>
      </c>
      <c r="D399" t="s">
        <v>73</v>
      </c>
      <c r="E399">
        <v>25</v>
      </c>
      <c r="F399">
        <v>104.75</v>
      </c>
      <c r="G399" s="2">
        <v>38498.279027777775</v>
      </c>
      <c r="I399">
        <v>391</v>
      </c>
      <c r="J399">
        <v>303</v>
      </c>
      <c r="K399" t="s">
        <v>708</v>
      </c>
      <c r="L399" t="s">
        <v>709</v>
      </c>
      <c r="M399">
        <v>26</v>
      </c>
      <c r="N399">
        <v>100.74</v>
      </c>
      <c r="O399" s="2">
        <v>38498.279027777775</v>
      </c>
    </row>
    <row r="400" spans="1:15" x14ac:dyDescent="0.25">
      <c r="A400">
        <v>392</v>
      </c>
      <c r="B400">
        <v>199</v>
      </c>
      <c r="C400" t="s">
        <v>785</v>
      </c>
      <c r="D400" t="s">
        <v>786</v>
      </c>
      <c r="E400">
        <v>25</v>
      </c>
      <c r="F400">
        <v>103.75</v>
      </c>
      <c r="G400" s="2">
        <v>38500.045219907406</v>
      </c>
      <c r="I400">
        <v>392</v>
      </c>
      <c r="J400">
        <v>474</v>
      </c>
      <c r="K400" t="s">
        <v>737</v>
      </c>
      <c r="L400" t="s">
        <v>738</v>
      </c>
      <c r="M400">
        <v>26</v>
      </c>
      <c r="N400">
        <v>100.74</v>
      </c>
      <c r="O400" s="2">
        <v>38500.045219907406</v>
      </c>
    </row>
    <row r="401" spans="1:15" x14ac:dyDescent="0.25">
      <c r="A401">
        <v>393</v>
      </c>
      <c r="B401">
        <v>324</v>
      </c>
      <c r="C401" t="s">
        <v>801</v>
      </c>
      <c r="D401" t="s">
        <v>802</v>
      </c>
      <c r="E401">
        <v>25</v>
      </c>
      <c r="F401">
        <v>103.75</v>
      </c>
      <c r="G401" s="2">
        <v>38500.382511574076</v>
      </c>
      <c r="I401">
        <v>393</v>
      </c>
      <c r="J401">
        <v>77</v>
      </c>
      <c r="K401" t="s">
        <v>514</v>
      </c>
      <c r="L401" t="s">
        <v>515</v>
      </c>
      <c r="M401">
        <v>28</v>
      </c>
      <c r="N401">
        <v>100.72</v>
      </c>
      <c r="O401" s="2">
        <v>38500.382511574076</v>
      </c>
    </row>
    <row r="402" spans="1:15" x14ac:dyDescent="0.25">
      <c r="A402">
        <v>394</v>
      </c>
      <c r="B402">
        <v>537</v>
      </c>
      <c r="C402" t="s">
        <v>839</v>
      </c>
      <c r="D402" t="s">
        <v>840</v>
      </c>
      <c r="E402">
        <v>25</v>
      </c>
      <c r="F402">
        <v>103.75</v>
      </c>
      <c r="G402" s="2">
        <v>38500.602673611109</v>
      </c>
      <c r="I402">
        <v>394</v>
      </c>
      <c r="J402">
        <v>361</v>
      </c>
      <c r="K402" t="s">
        <v>333</v>
      </c>
      <c r="L402" t="s">
        <v>334</v>
      </c>
      <c r="M402">
        <v>31</v>
      </c>
      <c r="N402">
        <v>100.69</v>
      </c>
      <c r="O402" s="2">
        <v>38500.602673611109</v>
      </c>
    </row>
    <row r="403" spans="1:15" x14ac:dyDescent="0.25">
      <c r="A403">
        <v>395</v>
      </c>
      <c r="B403">
        <v>546</v>
      </c>
      <c r="C403" t="s">
        <v>597</v>
      </c>
      <c r="D403" t="s">
        <v>841</v>
      </c>
      <c r="E403">
        <v>25</v>
      </c>
      <c r="F403">
        <v>103.75</v>
      </c>
      <c r="G403" s="2">
        <v>38498.291215277779</v>
      </c>
      <c r="I403">
        <v>395</v>
      </c>
      <c r="J403">
        <v>64</v>
      </c>
      <c r="K403" t="s">
        <v>201</v>
      </c>
      <c r="L403" t="s">
        <v>202</v>
      </c>
      <c r="M403">
        <v>33</v>
      </c>
      <c r="N403">
        <v>100.67</v>
      </c>
      <c r="O403" s="2">
        <v>38498.291215277779</v>
      </c>
    </row>
    <row r="404" spans="1:15" x14ac:dyDescent="0.25">
      <c r="A404">
        <v>396</v>
      </c>
      <c r="B404">
        <v>83</v>
      </c>
      <c r="C404" t="s">
        <v>771</v>
      </c>
      <c r="D404" t="s">
        <v>772</v>
      </c>
      <c r="E404">
        <v>25</v>
      </c>
      <c r="F404">
        <v>101.75</v>
      </c>
      <c r="G404" s="2">
        <v>38498.426828703705</v>
      </c>
      <c r="I404">
        <v>396</v>
      </c>
      <c r="J404">
        <v>449</v>
      </c>
      <c r="K404" t="s">
        <v>1138</v>
      </c>
      <c r="L404" t="s">
        <v>1139</v>
      </c>
      <c r="M404">
        <v>20</v>
      </c>
      <c r="N404">
        <v>99.8</v>
      </c>
      <c r="O404" s="2">
        <v>38498.426828703705</v>
      </c>
    </row>
    <row r="405" spans="1:15" x14ac:dyDescent="0.25">
      <c r="A405">
        <v>397</v>
      </c>
      <c r="B405">
        <v>156</v>
      </c>
      <c r="C405" t="s">
        <v>779</v>
      </c>
      <c r="D405" t="s">
        <v>780</v>
      </c>
      <c r="E405">
        <v>25</v>
      </c>
      <c r="F405">
        <v>101.75</v>
      </c>
      <c r="G405" s="2">
        <v>38502.395486111112</v>
      </c>
      <c r="I405">
        <v>397</v>
      </c>
      <c r="J405">
        <v>489</v>
      </c>
      <c r="K405" t="s">
        <v>1102</v>
      </c>
      <c r="L405" t="s">
        <v>1103</v>
      </c>
      <c r="M405">
        <v>21</v>
      </c>
      <c r="N405">
        <v>99.79</v>
      </c>
      <c r="O405" s="2">
        <v>38502.395486111112</v>
      </c>
    </row>
    <row r="406" spans="1:15" x14ac:dyDescent="0.25">
      <c r="A406">
        <v>398</v>
      </c>
      <c r="B406">
        <v>359</v>
      </c>
      <c r="C406" t="s">
        <v>688</v>
      </c>
      <c r="D406" t="s">
        <v>807</v>
      </c>
      <c r="E406">
        <v>25</v>
      </c>
      <c r="F406">
        <v>101.75</v>
      </c>
      <c r="G406" s="2">
        <v>38498.806759259256</v>
      </c>
      <c r="I406">
        <v>398</v>
      </c>
      <c r="J406">
        <v>67</v>
      </c>
      <c r="K406" t="s">
        <v>597</v>
      </c>
      <c r="L406" t="s">
        <v>1017</v>
      </c>
      <c r="M406">
        <v>22</v>
      </c>
      <c r="N406">
        <v>99.78</v>
      </c>
      <c r="O406" s="2">
        <v>38498.806759259256</v>
      </c>
    </row>
    <row r="407" spans="1:15" x14ac:dyDescent="0.25">
      <c r="A407">
        <v>399</v>
      </c>
      <c r="B407">
        <v>456</v>
      </c>
      <c r="C407" t="s">
        <v>822</v>
      </c>
      <c r="D407" t="s">
        <v>823</v>
      </c>
      <c r="E407">
        <v>25</v>
      </c>
      <c r="F407">
        <v>100.75</v>
      </c>
      <c r="G407" s="2">
        <v>38497.053749999999</v>
      </c>
      <c r="I407">
        <v>399</v>
      </c>
      <c r="J407">
        <v>192</v>
      </c>
      <c r="K407" t="s">
        <v>946</v>
      </c>
      <c r="L407" t="s">
        <v>333</v>
      </c>
      <c r="M407">
        <v>23</v>
      </c>
      <c r="N407">
        <v>99.77</v>
      </c>
      <c r="O407" s="2">
        <v>38497.053749999999</v>
      </c>
    </row>
    <row r="408" spans="1:15" x14ac:dyDescent="0.25">
      <c r="A408">
        <v>400</v>
      </c>
      <c r="B408">
        <v>43</v>
      </c>
      <c r="C408" t="s">
        <v>859</v>
      </c>
      <c r="D408" t="s">
        <v>860</v>
      </c>
      <c r="E408">
        <v>24</v>
      </c>
      <c r="F408">
        <v>99.76</v>
      </c>
      <c r="G408" s="2">
        <v>38497.851875</v>
      </c>
      <c r="I408">
        <v>400</v>
      </c>
      <c r="J408">
        <v>352</v>
      </c>
      <c r="K408" t="s">
        <v>972</v>
      </c>
      <c r="L408" t="s">
        <v>973</v>
      </c>
      <c r="M408">
        <v>23</v>
      </c>
      <c r="N408">
        <v>99.77</v>
      </c>
      <c r="O408" s="2">
        <v>38497.851875</v>
      </c>
    </row>
    <row r="409" spans="1:15" x14ac:dyDescent="0.25">
      <c r="A409">
        <v>401</v>
      </c>
      <c r="B409">
        <v>511</v>
      </c>
      <c r="C409" t="s">
        <v>902</v>
      </c>
      <c r="D409" t="s">
        <v>903</v>
      </c>
      <c r="E409">
        <v>24</v>
      </c>
      <c r="F409">
        <v>99.76</v>
      </c>
      <c r="G409" s="2">
        <v>38497.352905092594</v>
      </c>
      <c r="I409">
        <v>401</v>
      </c>
      <c r="J409">
        <v>437</v>
      </c>
      <c r="K409" t="s">
        <v>990</v>
      </c>
      <c r="L409" t="s">
        <v>991</v>
      </c>
      <c r="M409">
        <v>23</v>
      </c>
      <c r="N409">
        <v>99.77</v>
      </c>
      <c r="O409" s="2">
        <v>38497.352905092594</v>
      </c>
    </row>
    <row r="410" spans="1:15" x14ac:dyDescent="0.25">
      <c r="A410">
        <v>402</v>
      </c>
      <c r="B410">
        <v>175</v>
      </c>
      <c r="C410" t="s">
        <v>879</v>
      </c>
      <c r="D410" t="s">
        <v>880</v>
      </c>
      <c r="E410">
        <v>24</v>
      </c>
      <c r="F410">
        <v>98.76</v>
      </c>
      <c r="G410" s="2">
        <v>38518.912858796299</v>
      </c>
      <c r="I410">
        <v>402</v>
      </c>
      <c r="J410">
        <v>547</v>
      </c>
      <c r="K410" t="s">
        <v>1004</v>
      </c>
      <c r="L410" t="s">
        <v>1005</v>
      </c>
      <c r="M410">
        <v>23</v>
      </c>
      <c r="N410">
        <v>99.77</v>
      </c>
      <c r="O410" s="2">
        <v>38518.912858796299</v>
      </c>
    </row>
    <row r="411" spans="1:15" x14ac:dyDescent="0.25">
      <c r="A411">
        <v>403</v>
      </c>
      <c r="B411">
        <v>73</v>
      </c>
      <c r="C411" t="s">
        <v>861</v>
      </c>
      <c r="D411" t="s">
        <v>862</v>
      </c>
      <c r="E411">
        <v>24</v>
      </c>
      <c r="F411">
        <v>97.76</v>
      </c>
      <c r="G411" s="2">
        <v>38497.427349537036</v>
      </c>
      <c r="I411">
        <v>403</v>
      </c>
      <c r="J411">
        <v>43</v>
      </c>
      <c r="K411" t="s">
        <v>859</v>
      </c>
      <c r="L411" t="s">
        <v>860</v>
      </c>
      <c r="M411">
        <v>24</v>
      </c>
      <c r="N411">
        <v>99.76</v>
      </c>
      <c r="O411" s="2">
        <v>38497.427349537036</v>
      </c>
    </row>
    <row r="412" spans="1:15" x14ac:dyDescent="0.25">
      <c r="A412">
        <v>404</v>
      </c>
      <c r="B412">
        <v>101</v>
      </c>
      <c r="C412" t="s">
        <v>867</v>
      </c>
      <c r="D412" t="s">
        <v>868</v>
      </c>
      <c r="E412">
        <v>24</v>
      </c>
      <c r="F412">
        <v>96.76</v>
      </c>
      <c r="G412" s="2">
        <v>38499.884143518517</v>
      </c>
      <c r="I412">
        <v>404</v>
      </c>
      <c r="J412">
        <v>511</v>
      </c>
      <c r="K412" t="s">
        <v>902</v>
      </c>
      <c r="L412" t="s">
        <v>903</v>
      </c>
      <c r="M412">
        <v>24</v>
      </c>
      <c r="N412">
        <v>99.76</v>
      </c>
      <c r="O412" s="2">
        <v>38499.884143518517</v>
      </c>
    </row>
    <row r="413" spans="1:15" x14ac:dyDescent="0.25">
      <c r="A413">
        <v>405</v>
      </c>
      <c r="B413">
        <v>153</v>
      </c>
      <c r="C413" t="s">
        <v>877</v>
      </c>
      <c r="D413" t="s">
        <v>878</v>
      </c>
      <c r="E413">
        <v>24</v>
      </c>
      <c r="F413">
        <v>94.76</v>
      </c>
      <c r="G413" s="2">
        <v>38521.148587962962</v>
      </c>
      <c r="I413">
        <v>405</v>
      </c>
      <c r="J413">
        <v>10</v>
      </c>
      <c r="K413" t="s">
        <v>761</v>
      </c>
      <c r="L413" t="s">
        <v>762</v>
      </c>
      <c r="M413">
        <v>25</v>
      </c>
      <c r="N413">
        <v>99.75</v>
      </c>
      <c r="O413" s="2">
        <v>38521.148587962962</v>
      </c>
    </row>
    <row r="414" spans="1:15" x14ac:dyDescent="0.25">
      <c r="A414">
        <v>406</v>
      </c>
      <c r="B414">
        <v>130</v>
      </c>
      <c r="C414" t="s">
        <v>875</v>
      </c>
      <c r="D414" t="s">
        <v>876</v>
      </c>
      <c r="E414">
        <v>24</v>
      </c>
      <c r="F414">
        <v>93.76</v>
      </c>
      <c r="G414" s="2">
        <v>38496.953819444447</v>
      </c>
      <c r="I414">
        <v>406</v>
      </c>
      <c r="J414">
        <v>597</v>
      </c>
      <c r="K414" t="s">
        <v>850</v>
      </c>
      <c r="L414" t="s">
        <v>851</v>
      </c>
      <c r="M414">
        <v>25</v>
      </c>
      <c r="N414">
        <v>99.75</v>
      </c>
      <c r="O414" s="2">
        <v>38496.953819444447</v>
      </c>
    </row>
    <row r="415" spans="1:15" x14ac:dyDescent="0.25">
      <c r="A415">
        <v>407</v>
      </c>
      <c r="B415">
        <v>8</v>
      </c>
      <c r="C415" t="s">
        <v>852</v>
      </c>
      <c r="D415" t="s">
        <v>853</v>
      </c>
      <c r="E415">
        <v>24</v>
      </c>
      <c r="F415">
        <v>92.76</v>
      </c>
      <c r="G415" s="2">
        <v>38502.155486111114</v>
      </c>
      <c r="I415">
        <v>407</v>
      </c>
      <c r="J415">
        <v>570</v>
      </c>
      <c r="K415" t="s">
        <v>755</v>
      </c>
      <c r="L415" t="s">
        <v>756</v>
      </c>
      <c r="M415">
        <v>26</v>
      </c>
      <c r="N415">
        <v>99.74</v>
      </c>
      <c r="O415" s="2">
        <v>38502.155486111114</v>
      </c>
    </row>
    <row r="416" spans="1:15" x14ac:dyDescent="0.25">
      <c r="A416">
        <v>408</v>
      </c>
      <c r="B416">
        <v>104</v>
      </c>
      <c r="C416" t="s">
        <v>869</v>
      </c>
      <c r="D416" t="s">
        <v>870</v>
      </c>
      <c r="E416">
        <v>24</v>
      </c>
      <c r="F416">
        <v>92.76</v>
      </c>
      <c r="G416" s="2">
        <v>38498.101655092592</v>
      </c>
      <c r="I416">
        <v>408</v>
      </c>
      <c r="J416">
        <v>580</v>
      </c>
      <c r="K416" t="s">
        <v>361</v>
      </c>
      <c r="L416" t="s">
        <v>651</v>
      </c>
      <c r="M416">
        <v>27</v>
      </c>
      <c r="N416">
        <v>99.73</v>
      </c>
      <c r="O416" s="2">
        <v>38498.101655092592</v>
      </c>
    </row>
    <row r="417" spans="1:15" x14ac:dyDescent="0.25">
      <c r="A417">
        <v>409</v>
      </c>
      <c r="B417">
        <v>99</v>
      </c>
      <c r="C417" t="s">
        <v>863</v>
      </c>
      <c r="D417" t="s">
        <v>864</v>
      </c>
      <c r="E417">
        <v>24</v>
      </c>
      <c r="F417">
        <v>91.76</v>
      </c>
      <c r="G417" s="2">
        <v>38502.162997685184</v>
      </c>
      <c r="I417">
        <v>409</v>
      </c>
      <c r="J417">
        <v>72</v>
      </c>
      <c r="K417" t="s">
        <v>358</v>
      </c>
      <c r="L417" t="s">
        <v>359</v>
      </c>
      <c r="M417">
        <v>30</v>
      </c>
      <c r="N417">
        <v>99.7</v>
      </c>
      <c r="O417" s="2">
        <v>38502.162997685184</v>
      </c>
    </row>
    <row r="418" spans="1:15" x14ac:dyDescent="0.25">
      <c r="A418">
        <v>410</v>
      </c>
      <c r="B418">
        <v>382</v>
      </c>
      <c r="C418" t="s">
        <v>892</v>
      </c>
      <c r="D418" t="s">
        <v>893</v>
      </c>
      <c r="E418">
        <v>24</v>
      </c>
      <c r="F418">
        <v>91.76</v>
      </c>
      <c r="G418" s="2">
        <v>38499.272569444445</v>
      </c>
      <c r="I418">
        <v>410</v>
      </c>
      <c r="J418">
        <v>272</v>
      </c>
      <c r="K418" t="s">
        <v>1127</v>
      </c>
      <c r="L418" t="s">
        <v>1128</v>
      </c>
      <c r="M418">
        <v>20</v>
      </c>
      <c r="N418">
        <v>98.8</v>
      </c>
      <c r="O418" s="2">
        <v>38499.272569444445</v>
      </c>
    </row>
    <row r="419" spans="1:15" x14ac:dyDescent="0.25">
      <c r="A419">
        <v>411</v>
      </c>
      <c r="B419">
        <v>564</v>
      </c>
      <c r="C419" t="s">
        <v>916</v>
      </c>
      <c r="D419" t="s">
        <v>917</v>
      </c>
      <c r="E419">
        <v>24</v>
      </c>
      <c r="F419">
        <v>91.76</v>
      </c>
      <c r="G419" s="2">
        <v>38498.286527777775</v>
      </c>
      <c r="I419">
        <v>411</v>
      </c>
      <c r="J419">
        <v>17</v>
      </c>
      <c r="K419" t="s">
        <v>1066</v>
      </c>
      <c r="L419" t="s">
        <v>1067</v>
      </c>
      <c r="M419">
        <v>21</v>
      </c>
      <c r="N419">
        <v>98.79</v>
      </c>
      <c r="O419" s="2">
        <v>38498.286527777775</v>
      </c>
    </row>
    <row r="420" spans="1:15" x14ac:dyDescent="0.25">
      <c r="A420">
        <v>412</v>
      </c>
      <c r="B420">
        <v>34</v>
      </c>
      <c r="C420" t="s">
        <v>858</v>
      </c>
      <c r="D420" t="s">
        <v>804</v>
      </c>
      <c r="E420">
        <v>24</v>
      </c>
      <c r="F420">
        <v>89.76</v>
      </c>
      <c r="G420" s="2">
        <v>38520.187476851854</v>
      </c>
      <c r="I420">
        <v>412</v>
      </c>
      <c r="J420">
        <v>443</v>
      </c>
      <c r="K420" t="s">
        <v>987</v>
      </c>
      <c r="L420" t="s">
        <v>1044</v>
      </c>
      <c r="M420">
        <v>22</v>
      </c>
      <c r="N420">
        <v>98.78</v>
      </c>
      <c r="O420" s="2">
        <v>38520.187476851854</v>
      </c>
    </row>
    <row r="421" spans="1:15" x14ac:dyDescent="0.25">
      <c r="A421">
        <v>413</v>
      </c>
      <c r="B421">
        <v>351</v>
      </c>
      <c r="C421" t="s">
        <v>888</v>
      </c>
      <c r="D421" t="s">
        <v>889</v>
      </c>
      <c r="E421">
        <v>24</v>
      </c>
      <c r="F421">
        <v>89.76</v>
      </c>
      <c r="G421" s="2">
        <v>38503.805717592593</v>
      </c>
      <c r="I421">
        <v>413</v>
      </c>
      <c r="J421">
        <v>544</v>
      </c>
      <c r="K421" t="s">
        <v>1059</v>
      </c>
      <c r="L421" t="s">
        <v>1060</v>
      </c>
      <c r="M421">
        <v>22</v>
      </c>
      <c r="N421">
        <v>98.78</v>
      </c>
      <c r="O421" s="2">
        <v>38503.805717592593</v>
      </c>
    </row>
    <row r="422" spans="1:15" x14ac:dyDescent="0.25">
      <c r="A422">
        <v>414</v>
      </c>
      <c r="B422">
        <v>534</v>
      </c>
      <c r="C422" t="s">
        <v>906</v>
      </c>
      <c r="D422" t="s">
        <v>907</v>
      </c>
      <c r="E422">
        <v>24</v>
      </c>
      <c r="F422">
        <v>88.76</v>
      </c>
      <c r="G422" s="2">
        <v>38498.889907407407</v>
      </c>
      <c r="I422">
        <v>414</v>
      </c>
      <c r="J422">
        <v>180</v>
      </c>
      <c r="K422" t="s">
        <v>938</v>
      </c>
      <c r="L422" t="s">
        <v>939</v>
      </c>
      <c r="M422">
        <v>23</v>
      </c>
      <c r="N422">
        <v>98.77</v>
      </c>
      <c r="O422" s="2">
        <v>38498.889907407407</v>
      </c>
    </row>
    <row r="423" spans="1:15" x14ac:dyDescent="0.25">
      <c r="A423">
        <v>415</v>
      </c>
      <c r="B423">
        <v>227</v>
      </c>
      <c r="C423" t="s">
        <v>881</v>
      </c>
      <c r="D423" t="s">
        <v>882</v>
      </c>
      <c r="E423">
        <v>24</v>
      </c>
      <c r="F423">
        <v>87.76</v>
      </c>
      <c r="G423" s="2">
        <v>38497.781469907408</v>
      </c>
      <c r="I423">
        <v>415</v>
      </c>
      <c r="J423">
        <v>217</v>
      </c>
      <c r="K423" t="s">
        <v>949</v>
      </c>
      <c r="L423" t="s">
        <v>950</v>
      </c>
      <c r="M423">
        <v>23</v>
      </c>
      <c r="N423">
        <v>98.77</v>
      </c>
      <c r="O423" s="2">
        <v>38497.781469907408</v>
      </c>
    </row>
    <row r="424" spans="1:15" x14ac:dyDescent="0.25">
      <c r="A424">
        <v>416</v>
      </c>
      <c r="B424">
        <v>455</v>
      </c>
      <c r="C424" t="s">
        <v>896</v>
      </c>
      <c r="D424" t="s">
        <v>897</v>
      </c>
      <c r="E424">
        <v>24</v>
      </c>
      <c r="F424">
        <v>87.76</v>
      </c>
      <c r="G424" s="2">
        <v>38497.800983796296</v>
      </c>
      <c r="I424">
        <v>416</v>
      </c>
      <c r="J424">
        <v>175</v>
      </c>
      <c r="K424" t="s">
        <v>879</v>
      </c>
      <c r="L424" t="s">
        <v>880</v>
      </c>
      <c r="M424">
        <v>24</v>
      </c>
      <c r="N424">
        <v>98.76</v>
      </c>
      <c r="O424" s="2">
        <v>38497.800983796296</v>
      </c>
    </row>
    <row r="425" spans="1:15" x14ac:dyDescent="0.25">
      <c r="A425">
        <v>417</v>
      </c>
      <c r="B425">
        <v>243</v>
      </c>
      <c r="C425" t="s">
        <v>883</v>
      </c>
      <c r="D425" t="s">
        <v>884</v>
      </c>
      <c r="E425">
        <v>24</v>
      </c>
      <c r="F425">
        <v>82.76</v>
      </c>
      <c r="G425" s="2">
        <v>38498.241111111114</v>
      </c>
      <c r="I425">
        <v>417</v>
      </c>
      <c r="J425">
        <v>60</v>
      </c>
      <c r="K425" t="s">
        <v>765</v>
      </c>
      <c r="L425" t="s">
        <v>766</v>
      </c>
      <c r="M425">
        <v>25</v>
      </c>
      <c r="N425">
        <v>98.75</v>
      </c>
      <c r="O425" s="2">
        <v>38498.241111111114</v>
      </c>
    </row>
    <row r="426" spans="1:15" x14ac:dyDescent="0.25">
      <c r="A426">
        <v>418</v>
      </c>
      <c r="B426">
        <v>527</v>
      </c>
      <c r="C426" t="s">
        <v>904</v>
      </c>
      <c r="D426" t="s">
        <v>905</v>
      </c>
      <c r="E426">
        <v>24</v>
      </c>
      <c r="F426">
        <v>81.760000000000005</v>
      </c>
      <c r="G426" s="2">
        <v>38518.686597222222</v>
      </c>
      <c r="I426">
        <v>418</v>
      </c>
      <c r="J426">
        <v>264</v>
      </c>
      <c r="K426" t="s">
        <v>795</v>
      </c>
      <c r="L426" t="s">
        <v>796</v>
      </c>
      <c r="M426">
        <v>25</v>
      </c>
      <c r="N426">
        <v>98.75</v>
      </c>
      <c r="O426" s="2">
        <v>38518.686597222222</v>
      </c>
    </row>
    <row r="427" spans="1:15" x14ac:dyDescent="0.25">
      <c r="A427">
        <v>419</v>
      </c>
      <c r="B427">
        <v>288</v>
      </c>
      <c r="C427" t="s">
        <v>887</v>
      </c>
      <c r="D427" t="s">
        <v>404</v>
      </c>
      <c r="E427">
        <v>24</v>
      </c>
      <c r="F427">
        <v>80.760000000000005</v>
      </c>
      <c r="G427" s="2">
        <v>38497.662685185183</v>
      </c>
      <c r="I427">
        <v>419</v>
      </c>
      <c r="J427">
        <v>516</v>
      </c>
      <c r="K427" t="s">
        <v>749</v>
      </c>
      <c r="L427" t="s">
        <v>750</v>
      </c>
      <c r="M427">
        <v>26</v>
      </c>
      <c r="N427">
        <v>98.74</v>
      </c>
      <c r="O427" s="2">
        <v>38497.662685185183</v>
      </c>
    </row>
    <row r="428" spans="1:15" x14ac:dyDescent="0.25">
      <c r="A428">
        <v>420</v>
      </c>
      <c r="B428">
        <v>557</v>
      </c>
      <c r="C428" t="s">
        <v>914</v>
      </c>
      <c r="D428" t="s">
        <v>915</v>
      </c>
      <c r="E428">
        <v>24</v>
      </c>
      <c r="F428">
        <v>73.760000000000005</v>
      </c>
      <c r="G428" s="2">
        <v>38499.881979166668</v>
      </c>
      <c r="I428">
        <v>420</v>
      </c>
      <c r="J428">
        <v>133</v>
      </c>
      <c r="K428" t="s">
        <v>601</v>
      </c>
      <c r="L428" t="s">
        <v>602</v>
      </c>
      <c r="M428">
        <v>27</v>
      </c>
      <c r="N428">
        <v>98.73</v>
      </c>
      <c r="O428" s="2">
        <v>38499.881979166668</v>
      </c>
    </row>
    <row r="429" spans="1:15" x14ac:dyDescent="0.25">
      <c r="A429">
        <v>421</v>
      </c>
      <c r="B429">
        <v>19</v>
      </c>
      <c r="C429" t="s">
        <v>856</v>
      </c>
      <c r="D429" t="s">
        <v>857</v>
      </c>
      <c r="E429">
        <v>24</v>
      </c>
      <c r="F429">
        <v>125.76</v>
      </c>
      <c r="G429" s="2">
        <v>38497.049155092594</v>
      </c>
      <c r="I429">
        <v>421</v>
      </c>
      <c r="J429">
        <v>310</v>
      </c>
      <c r="K429" t="s">
        <v>1129</v>
      </c>
      <c r="L429" t="s">
        <v>1130</v>
      </c>
      <c r="M429">
        <v>20</v>
      </c>
      <c r="N429">
        <v>97.8</v>
      </c>
      <c r="O429" s="2">
        <v>38497.049155092594</v>
      </c>
    </row>
    <row r="430" spans="1:15" x14ac:dyDescent="0.25">
      <c r="A430">
        <v>422</v>
      </c>
      <c r="B430">
        <v>571</v>
      </c>
      <c r="C430" t="s">
        <v>918</v>
      </c>
      <c r="D430" t="s">
        <v>919</v>
      </c>
      <c r="E430">
        <v>24</v>
      </c>
      <c r="F430">
        <v>121.76</v>
      </c>
      <c r="G430" s="2">
        <v>38498.45449074074</v>
      </c>
      <c r="I430">
        <v>422</v>
      </c>
      <c r="J430">
        <v>505</v>
      </c>
      <c r="K430" t="s">
        <v>1108</v>
      </c>
      <c r="L430" t="s">
        <v>1109</v>
      </c>
      <c r="M430">
        <v>21</v>
      </c>
      <c r="N430">
        <v>97.79</v>
      </c>
      <c r="O430" s="2">
        <v>38498.45449074074</v>
      </c>
    </row>
    <row r="431" spans="1:15" x14ac:dyDescent="0.25">
      <c r="A431">
        <v>423</v>
      </c>
      <c r="B431">
        <v>490</v>
      </c>
      <c r="C431" t="s">
        <v>900</v>
      </c>
      <c r="D431" t="s">
        <v>901</v>
      </c>
      <c r="E431">
        <v>24</v>
      </c>
      <c r="F431">
        <v>117.76</v>
      </c>
      <c r="G431" s="2">
        <v>38500.493576388886</v>
      </c>
      <c r="I431">
        <v>423</v>
      </c>
      <c r="J431">
        <v>73</v>
      </c>
      <c r="K431" t="s">
        <v>861</v>
      </c>
      <c r="L431" t="s">
        <v>862</v>
      </c>
      <c r="M431">
        <v>24</v>
      </c>
      <c r="N431">
        <v>97.76</v>
      </c>
      <c r="O431" s="2">
        <v>38500.493576388886</v>
      </c>
    </row>
    <row r="432" spans="1:15" x14ac:dyDescent="0.25">
      <c r="A432">
        <v>424</v>
      </c>
      <c r="B432">
        <v>585</v>
      </c>
      <c r="C432" t="s">
        <v>204</v>
      </c>
      <c r="D432" t="s">
        <v>920</v>
      </c>
      <c r="E432">
        <v>24</v>
      </c>
      <c r="F432">
        <v>117.76</v>
      </c>
      <c r="G432" s="2">
        <v>38518.520613425928</v>
      </c>
      <c r="I432">
        <v>424</v>
      </c>
      <c r="J432">
        <v>111</v>
      </c>
      <c r="K432" t="s">
        <v>670</v>
      </c>
      <c r="L432" t="s">
        <v>671</v>
      </c>
      <c r="M432">
        <v>26</v>
      </c>
      <c r="N432">
        <v>97.74</v>
      </c>
      <c r="O432" s="2">
        <v>38518.520613425928</v>
      </c>
    </row>
    <row r="433" spans="1:15" x14ac:dyDescent="0.25">
      <c r="A433">
        <v>425</v>
      </c>
      <c r="B433">
        <v>427</v>
      </c>
      <c r="C433" t="s">
        <v>894</v>
      </c>
      <c r="D433" t="s">
        <v>895</v>
      </c>
      <c r="E433">
        <v>24</v>
      </c>
      <c r="F433">
        <v>114.76</v>
      </c>
      <c r="G433" s="2">
        <v>38497.512337962966</v>
      </c>
      <c r="I433">
        <v>425</v>
      </c>
      <c r="J433">
        <v>182</v>
      </c>
      <c r="K433" t="s">
        <v>681</v>
      </c>
      <c r="L433" t="s">
        <v>682</v>
      </c>
      <c r="M433">
        <v>26</v>
      </c>
      <c r="N433">
        <v>97.74</v>
      </c>
      <c r="O433" s="2">
        <v>38497.512337962966</v>
      </c>
    </row>
    <row r="434" spans="1:15" x14ac:dyDescent="0.25">
      <c r="A434">
        <v>426</v>
      </c>
      <c r="B434">
        <v>540</v>
      </c>
      <c r="C434" t="s">
        <v>908</v>
      </c>
      <c r="D434" t="s">
        <v>909</v>
      </c>
      <c r="E434">
        <v>24</v>
      </c>
      <c r="F434">
        <v>112.76</v>
      </c>
      <c r="G434" s="2">
        <v>38518.289340277777</v>
      </c>
      <c r="I434">
        <v>426</v>
      </c>
      <c r="J434">
        <v>422</v>
      </c>
      <c r="K434" t="s">
        <v>727</v>
      </c>
      <c r="L434" t="s">
        <v>728</v>
      </c>
      <c r="M434">
        <v>26</v>
      </c>
      <c r="N434">
        <v>97.74</v>
      </c>
      <c r="O434" s="2">
        <v>38518.289340277777</v>
      </c>
    </row>
    <row r="435" spans="1:15" x14ac:dyDescent="0.25">
      <c r="A435">
        <v>427</v>
      </c>
      <c r="B435">
        <v>258</v>
      </c>
      <c r="C435" t="s">
        <v>885</v>
      </c>
      <c r="D435" t="s">
        <v>886</v>
      </c>
      <c r="E435">
        <v>24</v>
      </c>
      <c r="F435">
        <v>110.76</v>
      </c>
      <c r="G435" s="2">
        <v>38519.693171296298</v>
      </c>
      <c r="I435">
        <v>427</v>
      </c>
      <c r="J435">
        <v>498</v>
      </c>
      <c r="K435" t="s">
        <v>643</v>
      </c>
      <c r="L435" t="s">
        <v>644</v>
      </c>
      <c r="M435">
        <v>27</v>
      </c>
      <c r="N435">
        <v>97.73</v>
      </c>
      <c r="O435" s="2">
        <v>38519.693171296298</v>
      </c>
    </row>
    <row r="436" spans="1:15" x14ac:dyDescent="0.25">
      <c r="A436">
        <v>428</v>
      </c>
      <c r="B436">
        <v>375</v>
      </c>
      <c r="C436" t="s">
        <v>890</v>
      </c>
      <c r="D436" t="s">
        <v>891</v>
      </c>
      <c r="E436">
        <v>24</v>
      </c>
      <c r="F436">
        <v>110.76</v>
      </c>
      <c r="G436" s="2">
        <v>38498.908483796295</v>
      </c>
      <c r="I436">
        <v>428</v>
      </c>
      <c r="J436">
        <v>461</v>
      </c>
      <c r="K436" t="s">
        <v>564</v>
      </c>
      <c r="L436" t="s">
        <v>565</v>
      </c>
      <c r="M436">
        <v>28</v>
      </c>
      <c r="N436">
        <v>97.72</v>
      </c>
      <c r="O436" s="2">
        <v>38498.908483796295</v>
      </c>
    </row>
    <row r="437" spans="1:15" x14ac:dyDescent="0.25">
      <c r="A437">
        <v>429</v>
      </c>
      <c r="B437">
        <v>541</v>
      </c>
      <c r="C437" t="s">
        <v>910</v>
      </c>
      <c r="D437" t="s">
        <v>911</v>
      </c>
      <c r="E437">
        <v>24</v>
      </c>
      <c r="F437">
        <v>108.76</v>
      </c>
      <c r="G437" s="2">
        <v>38503.136284722219</v>
      </c>
      <c r="I437">
        <v>429</v>
      </c>
      <c r="J437">
        <v>578</v>
      </c>
      <c r="K437" t="s">
        <v>1063</v>
      </c>
      <c r="L437" t="s">
        <v>1064</v>
      </c>
      <c r="M437">
        <v>22</v>
      </c>
      <c r="N437">
        <v>96.78</v>
      </c>
      <c r="O437" s="2">
        <v>38503.136284722219</v>
      </c>
    </row>
    <row r="438" spans="1:15" x14ac:dyDescent="0.25">
      <c r="A438">
        <v>430</v>
      </c>
      <c r="B438">
        <v>127</v>
      </c>
      <c r="C438" t="s">
        <v>873</v>
      </c>
      <c r="D438" t="s">
        <v>874</v>
      </c>
      <c r="E438">
        <v>24</v>
      </c>
      <c r="F438">
        <v>107.76</v>
      </c>
      <c r="G438" s="2">
        <v>38499.812881944446</v>
      </c>
      <c r="I438">
        <v>430</v>
      </c>
      <c r="J438">
        <v>101</v>
      </c>
      <c r="K438" t="s">
        <v>867</v>
      </c>
      <c r="L438" t="s">
        <v>868</v>
      </c>
      <c r="M438">
        <v>24</v>
      </c>
      <c r="N438">
        <v>96.76</v>
      </c>
      <c r="O438" s="2">
        <v>38499.812881944446</v>
      </c>
    </row>
    <row r="439" spans="1:15" x14ac:dyDescent="0.25">
      <c r="A439">
        <v>431</v>
      </c>
      <c r="B439">
        <v>553</v>
      </c>
      <c r="C439" t="s">
        <v>912</v>
      </c>
      <c r="D439" t="s">
        <v>913</v>
      </c>
      <c r="E439">
        <v>24</v>
      </c>
      <c r="F439">
        <v>107.76</v>
      </c>
      <c r="G439" s="2">
        <v>38501.678553240738</v>
      </c>
      <c r="I439">
        <v>431</v>
      </c>
      <c r="J439">
        <v>69</v>
      </c>
      <c r="K439" t="s">
        <v>769</v>
      </c>
      <c r="L439" t="s">
        <v>770</v>
      </c>
      <c r="M439">
        <v>25</v>
      </c>
      <c r="N439">
        <v>96.75</v>
      </c>
      <c r="O439" s="2">
        <v>38501.678553240738</v>
      </c>
    </row>
    <row r="440" spans="1:15" x14ac:dyDescent="0.25">
      <c r="A440">
        <v>432</v>
      </c>
      <c r="B440">
        <v>11</v>
      </c>
      <c r="C440" t="s">
        <v>854</v>
      </c>
      <c r="D440" t="s">
        <v>855</v>
      </c>
      <c r="E440">
        <v>24</v>
      </c>
      <c r="F440">
        <v>106.76</v>
      </c>
      <c r="G440" s="2">
        <v>38502.957777777781</v>
      </c>
      <c r="I440">
        <v>432</v>
      </c>
      <c r="J440">
        <v>326</v>
      </c>
      <c r="K440" t="s">
        <v>803</v>
      </c>
      <c r="L440" t="s">
        <v>628</v>
      </c>
      <c r="M440">
        <v>25</v>
      </c>
      <c r="N440">
        <v>96.75</v>
      </c>
      <c r="O440" s="2">
        <v>38502.957777777781</v>
      </c>
    </row>
    <row r="441" spans="1:15" x14ac:dyDescent="0.25">
      <c r="A441">
        <v>433</v>
      </c>
      <c r="B441">
        <v>475</v>
      </c>
      <c r="C441" t="s">
        <v>898</v>
      </c>
      <c r="D441" t="s">
        <v>899</v>
      </c>
      <c r="E441">
        <v>24</v>
      </c>
      <c r="F441">
        <v>103.76</v>
      </c>
      <c r="G441" s="2">
        <v>38499.630173611113</v>
      </c>
      <c r="I441">
        <v>433</v>
      </c>
      <c r="J441">
        <v>551</v>
      </c>
      <c r="K441" t="s">
        <v>753</v>
      </c>
      <c r="L441" t="s">
        <v>754</v>
      </c>
      <c r="M441">
        <v>26</v>
      </c>
      <c r="N441">
        <v>96.74</v>
      </c>
      <c r="O441" s="2">
        <v>38499.630173611113</v>
      </c>
    </row>
    <row r="442" spans="1:15" x14ac:dyDescent="0.25">
      <c r="A442">
        <v>434</v>
      </c>
      <c r="B442">
        <v>100</v>
      </c>
      <c r="C442" t="s">
        <v>865</v>
      </c>
      <c r="D442" t="s">
        <v>866</v>
      </c>
      <c r="E442">
        <v>24</v>
      </c>
      <c r="F442">
        <v>102.76</v>
      </c>
      <c r="G442" s="2">
        <v>38497.435173611113</v>
      </c>
      <c r="I442">
        <v>434</v>
      </c>
      <c r="J442">
        <v>561</v>
      </c>
      <c r="K442" t="s">
        <v>645</v>
      </c>
      <c r="L442" t="s">
        <v>646</v>
      </c>
      <c r="M442">
        <v>27</v>
      </c>
      <c r="N442">
        <v>96.73</v>
      </c>
      <c r="O442" s="2">
        <v>38497.435173611113</v>
      </c>
    </row>
    <row r="443" spans="1:15" x14ac:dyDescent="0.25">
      <c r="A443">
        <v>435</v>
      </c>
      <c r="B443">
        <v>123</v>
      </c>
      <c r="C443" t="s">
        <v>871</v>
      </c>
      <c r="D443" t="s">
        <v>872</v>
      </c>
      <c r="E443">
        <v>24</v>
      </c>
      <c r="F443">
        <v>100.76</v>
      </c>
      <c r="G443" s="2">
        <v>38502.991620370369</v>
      </c>
      <c r="I443">
        <v>435</v>
      </c>
      <c r="J443">
        <v>596</v>
      </c>
      <c r="K443" t="s">
        <v>580</v>
      </c>
      <c r="L443" t="s">
        <v>581</v>
      </c>
      <c r="M443">
        <v>28</v>
      </c>
      <c r="N443">
        <v>96.72</v>
      </c>
      <c r="O443" s="2">
        <v>38502.991620370369</v>
      </c>
    </row>
    <row r="444" spans="1:15" x14ac:dyDescent="0.25">
      <c r="A444">
        <v>436</v>
      </c>
      <c r="B444">
        <v>192</v>
      </c>
      <c r="C444" t="s">
        <v>946</v>
      </c>
      <c r="D444" t="s">
        <v>333</v>
      </c>
      <c r="E444">
        <v>23</v>
      </c>
      <c r="F444">
        <v>99.77</v>
      </c>
      <c r="G444" s="2">
        <v>38502.36855324074</v>
      </c>
      <c r="I444">
        <v>436</v>
      </c>
      <c r="J444">
        <v>169</v>
      </c>
      <c r="K444" t="s">
        <v>1024</v>
      </c>
      <c r="L444" t="s">
        <v>1025</v>
      </c>
      <c r="M444">
        <v>22</v>
      </c>
      <c r="N444">
        <v>95.78</v>
      </c>
      <c r="O444" s="2">
        <v>38502.36855324074</v>
      </c>
    </row>
    <row r="445" spans="1:15" x14ac:dyDescent="0.25">
      <c r="A445">
        <v>437</v>
      </c>
      <c r="B445">
        <v>352</v>
      </c>
      <c r="C445" t="s">
        <v>972</v>
      </c>
      <c r="D445" t="s">
        <v>973</v>
      </c>
      <c r="E445">
        <v>23</v>
      </c>
      <c r="F445">
        <v>99.77</v>
      </c>
      <c r="G445" s="2">
        <v>38501.61414351852</v>
      </c>
      <c r="I445">
        <v>437</v>
      </c>
      <c r="J445">
        <v>476</v>
      </c>
      <c r="K445" t="s">
        <v>1045</v>
      </c>
      <c r="L445" t="s">
        <v>1046</v>
      </c>
      <c r="M445">
        <v>22</v>
      </c>
      <c r="N445">
        <v>95.78</v>
      </c>
      <c r="O445" s="2">
        <v>38501.61414351852</v>
      </c>
    </row>
    <row r="446" spans="1:15" x14ac:dyDescent="0.25">
      <c r="A446">
        <v>438</v>
      </c>
      <c r="B446">
        <v>437</v>
      </c>
      <c r="C446" t="s">
        <v>990</v>
      </c>
      <c r="D446" t="s">
        <v>991</v>
      </c>
      <c r="E446">
        <v>23</v>
      </c>
      <c r="F446">
        <v>99.77</v>
      </c>
      <c r="G446" s="2">
        <v>38498.264317129629</v>
      </c>
      <c r="I446">
        <v>438</v>
      </c>
      <c r="J446">
        <v>488</v>
      </c>
      <c r="K446" t="s">
        <v>1051</v>
      </c>
      <c r="L446" t="s">
        <v>1052</v>
      </c>
      <c r="M446">
        <v>22</v>
      </c>
      <c r="N446">
        <v>95.78</v>
      </c>
      <c r="O446" s="2">
        <v>38498.264317129629</v>
      </c>
    </row>
    <row r="447" spans="1:15" x14ac:dyDescent="0.25">
      <c r="A447">
        <v>439</v>
      </c>
      <c r="B447">
        <v>547</v>
      </c>
      <c r="C447" t="s">
        <v>1004</v>
      </c>
      <c r="D447" t="s">
        <v>1005</v>
      </c>
      <c r="E447">
        <v>23</v>
      </c>
      <c r="F447">
        <v>99.77</v>
      </c>
      <c r="G447" s="2">
        <v>38498.897187499999</v>
      </c>
      <c r="I447">
        <v>439</v>
      </c>
      <c r="J447">
        <v>37</v>
      </c>
      <c r="K447" t="s">
        <v>923</v>
      </c>
      <c r="L447" t="s">
        <v>924</v>
      </c>
      <c r="M447">
        <v>23</v>
      </c>
      <c r="N447">
        <v>95.77</v>
      </c>
      <c r="O447" s="2">
        <v>38498.897187499999</v>
      </c>
    </row>
    <row r="448" spans="1:15" x14ac:dyDescent="0.25">
      <c r="A448">
        <v>440</v>
      </c>
      <c r="B448">
        <v>180</v>
      </c>
      <c r="C448" t="s">
        <v>938</v>
      </c>
      <c r="D448" t="s">
        <v>939</v>
      </c>
      <c r="E448">
        <v>23</v>
      </c>
      <c r="F448">
        <v>98.77</v>
      </c>
      <c r="G448" s="2">
        <v>38503.694131944445</v>
      </c>
      <c r="I448">
        <v>440</v>
      </c>
      <c r="J448">
        <v>216</v>
      </c>
      <c r="K448" t="s">
        <v>947</v>
      </c>
      <c r="L448" t="s">
        <v>948</v>
      </c>
      <c r="M448">
        <v>23</v>
      </c>
      <c r="N448">
        <v>95.77</v>
      </c>
      <c r="O448" s="2">
        <v>38503.694131944445</v>
      </c>
    </row>
    <row r="449" spans="1:15" x14ac:dyDescent="0.25">
      <c r="A449">
        <v>441</v>
      </c>
      <c r="B449">
        <v>217</v>
      </c>
      <c r="C449" t="s">
        <v>949</v>
      </c>
      <c r="D449" t="s">
        <v>950</v>
      </c>
      <c r="E449">
        <v>23</v>
      </c>
      <c r="F449">
        <v>98.77</v>
      </c>
      <c r="G449" s="2">
        <v>38501.927025462966</v>
      </c>
      <c r="I449">
        <v>441</v>
      </c>
      <c r="J449">
        <v>291</v>
      </c>
      <c r="K449" t="s">
        <v>957</v>
      </c>
      <c r="L449" t="s">
        <v>958</v>
      </c>
      <c r="M449">
        <v>23</v>
      </c>
      <c r="N449">
        <v>95.77</v>
      </c>
      <c r="O449" s="2">
        <v>38501.927025462966</v>
      </c>
    </row>
    <row r="450" spans="1:15" x14ac:dyDescent="0.25">
      <c r="A450">
        <v>442</v>
      </c>
      <c r="B450">
        <v>37</v>
      </c>
      <c r="C450" t="s">
        <v>923</v>
      </c>
      <c r="D450" t="s">
        <v>924</v>
      </c>
      <c r="E450">
        <v>23</v>
      </c>
      <c r="F450">
        <v>95.77</v>
      </c>
      <c r="G450" s="2">
        <v>38497.139814814815</v>
      </c>
      <c r="I450">
        <v>442</v>
      </c>
      <c r="J450">
        <v>364</v>
      </c>
      <c r="K450" t="s">
        <v>974</v>
      </c>
      <c r="L450" t="s">
        <v>975</v>
      </c>
      <c r="M450">
        <v>23</v>
      </c>
      <c r="N450">
        <v>95.77</v>
      </c>
      <c r="O450" s="2">
        <v>38497.139814814815</v>
      </c>
    </row>
    <row r="451" spans="1:15" x14ac:dyDescent="0.25">
      <c r="A451">
        <v>443</v>
      </c>
      <c r="B451">
        <v>216</v>
      </c>
      <c r="C451" t="s">
        <v>947</v>
      </c>
      <c r="D451" t="s">
        <v>948</v>
      </c>
      <c r="E451">
        <v>23</v>
      </c>
      <c r="F451">
        <v>95.77</v>
      </c>
      <c r="G451" s="2">
        <v>38503.005844907406</v>
      </c>
      <c r="I451">
        <v>443</v>
      </c>
      <c r="J451">
        <v>431</v>
      </c>
      <c r="K451" t="s">
        <v>986</v>
      </c>
      <c r="L451" t="s">
        <v>987</v>
      </c>
      <c r="M451">
        <v>23</v>
      </c>
      <c r="N451">
        <v>95.77</v>
      </c>
      <c r="O451" s="2">
        <v>38503.005844907406</v>
      </c>
    </row>
    <row r="452" spans="1:15" x14ac:dyDescent="0.25">
      <c r="A452">
        <v>444</v>
      </c>
      <c r="B452">
        <v>291</v>
      </c>
      <c r="C452" t="s">
        <v>957</v>
      </c>
      <c r="D452" t="s">
        <v>958</v>
      </c>
      <c r="E452">
        <v>23</v>
      </c>
      <c r="F452">
        <v>95.77</v>
      </c>
      <c r="G452" s="2">
        <v>38497.307928240742</v>
      </c>
      <c r="I452">
        <v>444</v>
      </c>
      <c r="J452">
        <v>24</v>
      </c>
      <c r="K452" t="s">
        <v>763</v>
      </c>
      <c r="L452" t="s">
        <v>635</v>
      </c>
      <c r="M452">
        <v>25</v>
      </c>
      <c r="N452">
        <v>95.75</v>
      </c>
      <c r="O452" s="2">
        <v>38497.307928240742</v>
      </c>
    </row>
    <row r="453" spans="1:15" x14ac:dyDescent="0.25">
      <c r="A453">
        <v>445</v>
      </c>
      <c r="B453">
        <v>364</v>
      </c>
      <c r="C453" t="s">
        <v>974</v>
      </c>
      <c r="D453" t="s">
        <v>975</v>
      </c>
      <c r="E453">
        <v>23</v>
      </c>
      <c r="F453">
        <v>95.77</v>
      </c>
      <c r="G453" s="2">
        <v>38499.840694444443</v>
      </c>
      <c r="I453">
        <v>445</v>
      </c>
      <c r="J453">
        <v>232</v>
      </c>
      <c r="K453" t="s">
        <v>791</v>
      </c>
      <c r="L453" t="s">
        <v>792</v>
      </c>
      <c r="M453">
        <v>25</v>
      </c>
      <c r="N453">
        <v>95.75</v>
      </c>
      <c r="O453" s="2">
        <v>38499.840694444443</v>
      </c>
    </row>
    <row r="454" spans="1:15" x14ac:dyDescent="0.25">
      <c r="A454">
        <v>446</v>
      </c>
      <c r="B454">
        <v>431</v>
      </c>
      <c r="C454" t="s">
        <v>986</v>
      </c>
      <c r="D454" t="s">
        <v>987</v>
      </c>
      <c r="E454">
        <v>23</v>
      </c>
      <c r="F454">
        <v>95.77</v>
      </c>
      <c r="G454" s="2">
        <v>38503.72760416667</v>
      </c>
      <c r="I454">
        <v>446</v>
      </c>
      <c r="J454">
        <v>507</v>
      </c>
      <c r="K454" t="s">
        <v>828</v>
      </c>
      <c r="L454" t="s">
        <v>829</v>
      </c>
      <c r="M454">
        <v>25</v>
      </c>
      <c r="N454">
        <v>95.75</v>
      </c>
      <c r="O454" s="2">
        <v>38503.72760416667</v>
      </c>
    </row>
    <row r="455" spans="1:15" x14ac:dyDescent="0.25">
      <c r="A455">
        <v>447</v>
      </c>
      <c r="B455">
        <v>134</v>
      </c>
      <c r="C455" t="s">
        <v>934</v>
      </c>
      <c r="D455" t="s">
        <v>935</v>
      </c>
      <c r="E455">
        <v>23</v>
      </c>
      <c r="F455">
        <v>94.77</v>
      </c>
      <c r="G455" s="2">
        <v>38499.315208333333</v>
      </c>
      <c r="I455">
        <v>447</v>
      </c>
      <c r="J455">
        <v>132</v>
      </c>
      <c r="K455" t="s">
        <v>522</v>
      </c>
      <c r="L455" t="s">
        <v>523</v>
      </c>
      <c r="M455">
        <v>28</v>
      </c>
      <c r="N455">
        <v>95.72</v>
      </c>
      <c r="O455" s="2">
        <v>38499.315208333333</v>
      </c>
    </row>
    <row r="456" spans="1:15" x14ac:dyDescent="0.25">
      <c r="A456">
        <v>448</v>
      </c>
      <c r="B456">
        <v>415</v>
      </c>
      <c r="C456" t="s">
        <v>984</v>
      </c>
      <c r="D456" t="s">
        <v>985</v>
      </c>
      <c r="E456">
        <v>23</v>
      </c>
      <c r="F456">
        <v>93.77</v>
      </c>
      <c r="G456" s="2">
        <v>38500.90184027778</v>
      </c>
      <c r="I456">
        <v>448</v>
      </c>
      <c r="J456">
        <v>542</v>
      </c>
      <c r="K456" t="s">
        <v>1191</v>
      </c>
      <c r="L456" t="s">
        <v>1192</v>
      </c>
      <c r="M456">
        <v>18</v>
      </c>
      <c r="N456">
        <v>94.82</v>
      </c>
      <c r="O456" s="2">
        <v>38500.90184027778</v>
      </c>
    </row>
    <row r="457" spans="1:15" x14ac:dyDescent="0.25">
      <c r="A457">
        <v>449</v>
      </c>
      <c r="B457">
        <v>93</v>
      </c>
      <c r="C457" t="s">
        <v>931</v>
      </c>
      <c r="D457" t="s">
        <v>932</v>
      </c>
      <c r="E457">
        <v>23</v>
      </c>
      <c r="F457">
        <v>91.77</v>
      </c>
      <c r="G457" s="2">
        <v>38497.796990740739</v>
      </c>
      <c r="I457">
        <v>449</v>
      </c>
      <c r="J457">
        <v>238</v>
      </c>
      <c r="K457" t="s">
        <v>1087</v>
      </c>
      <c r="L457" t="s">
        <v>1088</v>
      </c>
      <c r="M457">
        <v>21</v>
      </c>
      <c r="N457">
        <v>94.79</v>
      </c>
      <c r="O457" s="2">
        <v>38497.796990740739</v>
      </c>
    </row>
    <row r="458" spans="1:15" x14ac:dyDescent="0.25">
      <c r="A458">
        <v>450</v>
      </c>
      <c r="B458">
        <v>392</v>
      </c>
      <c r="C458" t="s">
        <v>980</v>
      </c>
      <c r="D458" t="s">
        <v>981</v>
      </c>
      <c r="E458">
        <v>23</v>
      </c>
      <c r="F458">
        <v>91.77</v>
      </c>
      <c r="G458" s="2">
        <v>38519.026469907411</v>
      </c>
      <c r="I458">
        <v>450</v>
      </c>
      <c r="J458">
        <v>68</v>
      </c>
      <c r="K458" t="s">
        <v>1018</v>
      </c>
      <c r="L458" t="s">
        <v>1019</v>
      </c>
      <c r="M458">
        <v>22</v>
      </c>
      <c r="N458">
        <v>94.78</v>
      </c>
      <c r="O458" s="2">
        <v>38519.026469907411</v>
      </c>
    </row>
    <row r="459" spans="1:15" x14ac:dyDescent="0.25">
      <c r="A459">
        <v>451</v>
      </c>
      <c r="B459">
        <v>184</v>
      </c>
      <c r="C459" t="s">
        <v>942</v>
      </c>
      <c r="D459" t="s">
        <v>943</v>
      </c>
      <c r="E459">
        <v>23</v>
      </c>
      <c r="F459">
        <v>90.77</v>
      </c>
      <c r="G459" s="2">
        <v>38498.288865740738</v>
      </c>
      <c r="I459">
        <v>451</v>
      </c>
      <c r="J459">
        <v>134</v>
      </c>
      <c r="K459" t="s">
        <v>934</v>
      </c>
      <c r="L459" t="s">
        <v>935</v>
      </c>
      <c r="M459">
        <v>23</v>
      </c>
      <c r="N459">
        <v>94.77</v>
      </c>
      <c r="O459" s="2">
        <v>38498.288865740738</v>
      </c>
    </row>
    <row r="460" spans="1:15" x14ac:dyDescent="0.25">
      <c r="A460">
        <v>452</v>
      </c>
      <c r="B460">
        <v>328</v>
      </c>
      <c r="C460" t="s">
        <v>963</v>
      </c>
      <c r="D460" t="s">
        <v>964</v>
      </c>
      <c r="E460">
        <v>23</v>
      </c>
      <c r="F460">
        <v>90.77</v>
      </c>
      <c r="G460" s="2">
        <v>38502.131377314814</v>
      </c>
      <c r="I460">
        <v>452</v>
      </c>
      <c r="J460">
        <v>153</v>
      </c>
      <c r="K460" t="s">
        <v>877</v>
      </c>
      <c r="L460" t="s">
        <v>878</v>
      </c>
      <c r="M460">
        <v>24</v>
      </c>
      <c r="N460">
        <v>94.76</v>
      </c>
      <c r="O460" s="2">
        <v>38502.131377314814</v>
      </c>
    </row>
    <row r="461" spans="1:15" x14ac:dyDescent="0.25">
      <c r="A461">
        <v>453</v>
      </c>
      <c r="B461">
        <v>9</v>
      </c>
      <c r="C461" t="s">
        <v>921</v>
      </c>
      <c r="D461" t="s">
        <v>922</v>
      </c>
      <c r="E461">
        <v>23</v>
      </c>
      <c r="F461">
        <v>89.77</v>
      </c>
      <c r="G461" s="2">
        <v>38499.209351851852</v>
      </c>
      <c r="I461">
        <v>453</v>
      </c>
      <c r="J461">
        <v>330</v>
      </c>
      <c r="K461" t="s">
        <v>804</v>
      </c>
      <c r="L461" t="s">
        <v>805</v>
      </c>
      <c r="M461">
        <v>25</v>
      </c>
      <c r="N461">
        <v>94.75</v>
      </c>
      <c r="O461" s="2">
        <v>38499.209351851852</v>
      </c>
    </row>
    <row r="462" spans="1:15" x14ac:dyDescent="0.25">
      <c r="A462">
        <v>454</v>
      </c>
      <c r="B462">
        <v>233</v>
      </c>
      <c r="C462" t="s">
        <v>951</v>
      </c>
      <c r="D462" t="s">
        <v>952</v>
      </c>
      <c r="E462">
        <v>23</v>
      </c>
      <c r="F462">
        <v>89.77</v>
      </c>
      <c r="G462" s="2">
        <v>38520.457557870373</v>
      </c>
      <c r="I462">
        <v>454</v>
      </c>
      <c r="J462">
        <v>142</v>
      </c>
      <c r="K462" t="s">
        <v>674</v>
      </c>
      <c r="L462" t="s">
        <v>675</v>
      </c>
      <c r="M462">
        <v>26</v>
      </c>
      <c r="N462">
        <v>94.74</v>
      </c>
      <c r="O462" s="2">
        <v>38520.457557870373</v>
      </c>
    </row>
    <row r="463" spans="1:15" x14ac:dyDescent="0.25">
      <c r="A463">
        <v>455</v>
      </c>
      <c r="B463">
        <v>313</v>
      </c>
      <c r="C463" t="s">
        <v>961</v>
      </c>
      <c r="D463" t="s">
        <v>962</v>
      </c>
      <c r="E463">
        <v>23</v>
      </c>
      <c r="F463">
        <v>89.77</v>
      </c>
      <c r="G463" s="2">
        <v>38500.919039351851</v>
      </c>
      <c r="I463">
        <v>455</v>
      </c>
      <c r="J463">
        <v>81</v>
      </c>
      <c r="K463" t="s">
        <v>1022</v>
      </c>
      <c r="L463" t="s">
        <v>1023</v>
      </c>
      <c r="M463">
        <v>22</v>
      </c>
      <c r="N463">
        <v>93.78</v>
      </c>
      <c r="O463" s="2">
        <v>38500.919039351851</v>
      </c>
    </row>
    <row r="464" spans="1:15" x14ac:dyDescent="0.25">
      <c r="A464">
        <v>456</v>
      </c>
      <c r="B464">
        <v>85</v>
      </c>
      <c r="C464" t="s">
        <v>929</v>
      </c>
      <c r="D464" t="s">
        <v>930</v>
      </c>
      <c r="E464">
        <v>23</v>
      </c>
      <c r="F464">
        <v>87.77</v>
      </c>
      <c r="G464" s="2">
        <v>38501.038113425922</v>
      </c>
      <c r="I464">
        <v>456</v>
      </c>
      <c r="J464">
        <v>189</v>
      </c>
      <c r="K464" t="s">
        <v>1026</v>
      </c>
      <c r="L464" t="s">
        <v>1027</v>
      </c>
      <c r="M464">
        <v>22</v>
      </c>
      <c r="N464">
        <v>93.78</v>
      </c>
      <c r="O464" s="2">
        <v>38501.038113425922</v>
      </c>
    </row>
    <row r="465" spans="1:15" x14ac:dyDescent="0.25">
      <c r="A465">
        <v>457</v>
      </c>
      <c r="B465">
        <v>62</v>
      </c>
      <c r="C465" t="s">
        <v>925</v>
      </c>
      <c r="D465" t="s">
        <v>926</v>
      </c>
      <c r="E465">
        <v>23</v>
      </c>
      <c r="F465">
        <v>84.77</v>
      </c>
      <c r="G465" s="2">
        <v>38502.287824074076</v>
      </c>
      <c r="I465">
        <v>457</v>
      </c>
      <c r="J465">
        <v>523</v>
      </c>
      <c r="K465" t="s">
        <v>691</v>
      </c>
      <c r="L465" t="s">
        <v>1054</v>
      </c>
      <c r="M465">
        <v>22</v>
      </c>
      <c r="N465">
        <v>93.78</v>
      </c>
      <c r="O465" s="2">
        <v>38502.287824074076</v>
      </c>
    </row>
    <row r="466" spans="1:15" x14ac:dyDescent="0.25">
      <c r="A466">
        <v>458</v>
      </c>
      <c r="B466">
        <v>185</v>
      </c>
      <c r="C466" t="s">
        <v>944</v>
      </c>
      <c r="D466" t="s">
        <v>945</v>
      </c>
      <c r="E466">
        <v>23</v>
      </c>
      <c r="F466">
        <v>84.77</v>
      </c>
      <c r="G466" s="2">
        <v>38497.075474537036</v>
      </c>
      <c r="I466">
        <v>458</v>
      </c>
      <c r="J466">
        <v>415</v>
      </c>
      <c r="K466" t="s">
        <v>984</v>
      </c>
      <c r="L466" t="s">
        <v>985</v>
      </c>
      <c r="M466">
        <v>23</v>
      </c>
      <c r="N466">
        <v>93.77</v>
      </c>
      <c r="O466" s="2">
        <v>38497.075474537036</v>
      </c>
    </row>
    <row r="467" spans="1:15" x14ac:dyDescent="0.25">
      <c r="A467">
        <v>459</v>
      </c>
      <c r="B467">
        <v>521</v>
      </c>
      <c r="C467" t="s">
        <v>1000</v>
      </c>
      <c r="D467" t="s">
        <v>1001</v>
      </c>
      <c r="E467">
        <v>23</v>
      </c>
      <c r="F467">
        <v>80.77</v>
      </c>
      <c r="G467" s="2">
        <v>38519.743020833332</v>
      </c>
      <c r="I467">
        <v>459</v>
      </c>
      <c r="J467">
        <v>130</v>
      </c>
      <c r="K467" t="s">
        <v>875</v>
      </c>
      <c r="L467" t="s">
        <v>876</v>
      </c>
      <c r="M467">
        <v>24</v>
      </c>
      <c r="N467">
        <v>93.76</v>
      </c>
      <c r="O467" s="2">
        <v>38519.743020833332</v>
      </c>
    </row>
    <row r="468" spans="1:15" x14ac:dyDescent="0.25">
      <c r="A468">
        <v>460</v>
      </c>
      <c r="B468">
        <v>335</v>
      </c>
      <c r="C468" t="s">
        <v>543</v>
      </c>
      <c r="D468" t="s">
        <v>965</v>
      </c>
      <c r="E468">
        <v>23</v>
      </c>
      <c r="F468">
        <v>78.77</v>
      </c>
      <c r="G468" s="2">
        <v>38524.389247685183</v>
      </c>
      <c r="I468">
        <v>460</v>
      </c>
      <c r="J468">
        <v>229</v>
      </c>
      <c r="K468" t="s">
        <v>789</v>
      </c>
      <c r="L468" t="s">
        <v>790</v>
      </c>
      <c r="M468">
        <v>25</v>
      </c>
      <c r="N468">
        <v>93.75</v>
      </c>
      <c r="O468" s="2">
        <v>38524.389247685183</v>
      </c>
    </row>
    <row r="469" spans="1:15" x14ac:dyDescent="0.25">
      <c r="A469">
        <v>461</v>
      </c>
      <c r="B469">
        <v>76</v>
      </c>
      <c r="C469" t="s">
        <v>927</v>
      </c>
      <c r="D469" t="s">
        <v>928</v>
      </c>
      <c r="E469">
        <v>23</v>
      </c>
      <c r="F469">
        <v>77.77</v>
      </c>
      <c r="G469" s="2">
        <v>38500.447546296295</v>
      </c>
      <c r="I469">
        <v>461</v>
      </c>
      <c r="J469">
        <v>235</v>
      </c>
      <c r="K469" t="s">
        <v>793</v>
      </c>
      <c r="L469" t="s">
        <v>794</v>
      </c>
      <c r="M469">
        <v>25</v>
      </c>
      <c r="N469">
        <v>93.75</v>
      </c>
      <c r="O469" s="2">
        <v>38500.447546296295</v>
      </c>
    </row>
    <row r="470" spans="1:15" x14ac:dyDescent="0.25">
      <c r="A470">
        <v>462</v>
      </c>
      <c r="B470">
        <v>183</v>
      </c>
      <c r="C470" t="s">
        <v>940</v>
      </c>
      <c r="D470" t="s">
        <v>941</v>
      </c>
      <c r="E470">
        <v>23</v>
      </c>
      <c r="F470">
        <v>76.77</v>
      </c>
      <c r="G470" s="2">
        <v>38499.425000000003</v>
      </c>
      <c r="I470">
        <v>462</v>
      </c>
      <c r="J470">
        <v>377</v>
      </c>
      <c r="K470" t="s">
        <v>717</v>
      </c>
      <c r="L470" t="s">
        <v>718</v>
      </c>
      <c r="M470">
        <v>26</v>
      </c>
      <c r="N470">
        <v>93.74</v>
      </c>
      <c r="O470" s="2">
        <v>38499.425000000003</v>
      </c>
    </row>
    <row r="471" spans="1:15" x14ac:dyDescent="0.25">
      <c r="A471">
        <v>463</v>
      </c>
      <c r="B471">
        <v>530</v>
      </c>
      <c r="C471" t="s">
        <v>1002</v>
      </c>
      <c r="D471" t="s">
        <v>1003</v>
      </c>
      <c r="E471">
        <v>23</v>
      </c>
      <c r="F471">
        <v>76.77</v>
      </c>
      <c r="G471" s="2">
        <v>38502.066145833334</v>
      </c>
      <c r="I471">
        <v>463</v>
      </c>
      <c r="J471">
        <v>6</v>
      </c>
      <c r="K471" t="s">
        <v>502</v>
      </c>
      <c r="L471" t="s">
        <v>503</v>
      </c>
      <c r="M471">
        <v>28</v>
      </c>
      <c r="N471">
        <v>93.72</v>
      </c>
      <c r="O471" s="2">
        <v>38502.066145833334</v>
      </c>
    </row>
    <row r="472" spans="1:15" x14ac:dyDescent="0.25">
      <c r="A472">
        <v>464</v>
      </c>
      <c r="B472">
        <v>350</v>
      </c>
      <c r="C472" t="s">
        <v>970</v>
      </c>
      <c r="D472" t="s">
        <v>971</v>
      </c>
      <c r="E472">
        <v>23</v>
      </c>
      <c r="F472">
        <v>73.77</v>
      </c>
      <c r="G472" s="2">
        <v>38497.120162037034</v>
      </c>
      <c r="I472">
        <v>464</v>
      </c>
      <c r="J472">
        <v>174</v>
      </c>
      <c r="K472" t="s">
        <v>1081</v>
      </c>
      <c r="L472" t="s">
        <v>1082</v>
      </c>
      <c r="M472">
        <v>21</v>
      </c>
      <c r="N472">
        <v>92.79</v>
      </c>
      <c r="O472" s="2">
        <v>38497.120162037034</v>
      </c>
    </row>
    <row r="473" spans="1:15" x14ac:dyDescent="0.25">
      <c r="A473">
        <v>465</v>
      </c>
      <c r="B473">
        <v>177</v>
      </c>
      <c r="C473" t="s">
        <v>936</v>
      </c>
      <c r="D473" t="s">
        <v>937</v>
      </c>
      <c r="E473">
        <v>23</v>
      </c>
      <c r="F473">
        <v>71.77</v>
      </c>
      <c r="G473" s="2">
        <v>38518.675578703704</v>
      </c>
      <c r="I473">
        <v>465</v>
      </c>
      <c r="J473">
        <v>301</v>
      </c>
      <c r="K473" t="s">
        <v>627</v>
      </c>
      <c r="L473" t="s">
        <v>1089</v>
      </c>
      <c r="M473">
        <v>21</v>
      </c>
      <c r="N473">
        <v>92.79</v>
      </c>
      <c r="O473" s="2">
        <v>38518.675578703704</v>
      </c>
    </row>
    <row r="474" spans="1:15" x14ac:dyDescent="0.25">
      <c r="A474">
        <v>466</v>
      </c>
      <c r="B474">
        <v>311</v>
      </c>
      <c r="C474" t="s">
        <v>959</v>
      </c>
      <c r="D474" t="s">
        <v>960</v>
      </c>
      <c r="E474">
        <v>23</v>
      </c>
      <c r="F474">
        <v>120.77</v>
      </c>
      <c r="G474" s="2">
        <v>38498.700590277775</v>
      </c>
      <c r="I474">
        <v>466</v>
      </c>
      <c r="J474">
        <v>8</v>
      </c>
      <c r="K474" t="s">
        <v>852</v>
      </c>
      <c r="L474" t="s">
        <v>853</v>
      </c>
      <c r="M474">
        <v>24</v>
      </c>
      <c r="N474">
        <v>92.76</v>
      </c>
      <c r="O474" s="2">
        <v>38498.700590277775</v>
      </c>
    </row>
    <row r="475" spans="1:15" x14ac:dyDescent="0.25">
      <c r="A475">
        <v>467</v>
      </c>
      <c r="B475">
        <v>583</v>
      </c>
      <c r="C475" t="s">
        <v>166</v>
      </c>
      <c r="D475" t="s">
        <v>1006</v>
      </c>
      <c r="E475">
        <v>23</v>
      </c>
      <c r="F475">
        <v>117.77</v>
      </c>
      <c r="G475" s="2">
        <v>38518.763541666667</v>
      </c>
      <c r="I475">
        <v>467</v>
      </c>
      <c r="J475">
        <v>104</v>
      </c>
      <c r="K475" t="s">
        <v>869</v>
      </c>
      <c r="L475" t="s">
        <v>870</v>
      </c>
      <c r="M475">
        <v>24</v>
      </c>
      <c r="N475">
        <v>92.76</v>
      </c>
      <c r="O475" s="2">
        <v>38518.763541666667</v>
      </c>
    </row>
    <row r="476" spans="1:15" x14ac:dyDescent="0.25">
      <c r="A476">
        <v>468</v>
      </c>
      <c r="B476">
        <v>432</v>
      </c>
      <c r="C476" t="s">
        <v>988</v>
      </c>
      <c r="D476" t="s">
        <v>989</v>
      </c>
      <c r="E476">
        <v>23</v>
      </c>
      <c r="F476">
        <v>116.77</v>
      </c>
      <c r="G476" s="2">
        <v>38499.048738425925</v>
      </c>
      <c r="I476">
        <v>468</v>
      </c>
      <c r="J476">
        <v>188</v>
      </c>
      <c r="K476" t="s">
        <v>781</v>
      </c>
      <c r="L476" t="s">
        <v>782</v>
      </c>
      <c r="M476">
        <v>25</v>
      </c>
      <c r="N476">
        <v>92.75</v>
      </c>
      <c r="O476" s="2">
        <v>38499.048738425925</v>
      </c>
    </row>
    <row r="477" spans="1:15" x14ac:dyDescent="0.25">
      <c r="A477">
        <v>469</v>
      </c>
      <c r="B477">
        <v>493</v>
      </c>
      <c r="C477" t="s">
        <v>996</v>
      </c>
      <c r="D477" t="s">
        <v>997</v>
      </c>
      <c r="E477">
        <v>23</v>
      </c>
      <c r="F477">
        <v>112.77</v>
      </c>
      <c r="G477" s="2">
        <v>38500.28025462963</v>
      </c>
      <c r="I477">
        <v>469</v>
      </c>
      <c r="J477">
        <v>36</v>
      </c>
      <c r="K477" t="s">
        <v>586</v>
      </c>
      <c r="L477" t="s">
        <v>587</v>
      </c>
      <c r="M477">
        <v>27</v>
      </c>
      <c r="N477">
        <v>92.73</v>
      </c>
      <c r="O477" s="2">
        <v>38500.28025462963</v>
      </c>
    </row>
    <row r="478" spans="1:15" x14ac:dyDescent="0.25">
      <c r="A478">
        <v>470</v>
      </c>
      <c r="B478">
        <v>453</v>
      </c>
      <c r="C478" t="s">
        <v>992</v>
      </c>
      <c r="D478" t="s">
        <v>993</v>
      </c>
      <c r="E478">
        <v>23</v>
      </c>
      <c r="F478">
        <v>111.77</v>
      </c>
      <c r="G478" s="2">
        <v>38522.964467592596</v>
      </c>
      <c r="I478">
        <v>470</v>
      </c>
      <c r="J478">
        <v>151</v>
      </c>
      <c r="K478" t="s">
        <v>605</v>
      </c>
      <c r="L478" t="s">
        <v>606</v>
      </c>
      <c r="M478">
        <v>27</v>
      </c>
      <c r="N478">
        <v>92.73</v>
      </c>
      <c r="O478" s="2">
        <v>38522.964467592596</v>
      </c>
    </row>
    <row r="479" spans="1:15" x14ac:dyDescent="0.25">
      <c r="A479">
        <v>471</v>
      </c>
      <c r="B479">
        <v>246</v>
      </c>
      <c r="C479" t="s">
        <v>953</v>
      </c>
      <c r="D479" t="s">
        <v>954</v>
      </c>
      <c r="E479">
        <v>23</v>
      </c>
      <c r="F479">
        <v>107.77</v>
      </c>
      <c r="G479" s="2">
        <v>38497.865405092591</v>
      </c>
      <c r="I479">
        <v>471</v>
      </c>
      <c r="J479">
        <v>228</v>
      </c>
      <c r="K479" t="s">
        <v>617</v>
      </c>
      <c r="L479" t="s">
        <v>408</v>
      </c>
      <c r="M479">
        <v>27</v>
      </c>
      <c r="N479">
        <v>92.73</v>
      </c>
      <c r="O479" s="2">
        <v>38497.865405092591</v>
      </c>
    </row>
    <row r="480" spans="1:15" x14ac:dyDescent="0.25">
      <c r="A480">
        <v>472</v>
      </c>
      <c r="B480">
        <v>249</v>
      </c>
      <c r="C480" t="s">
        <v>955</v>
      </c>
      <c r="D480" t="s">
        <v>956</v>
      </c>
      <c r="E480">
        <v>23</v>
      </c>
      <c r="F480">
        <v>107.77</v>
      </c>
      <c r="G480" s="2">
        <v>38498.974247685182</v>
      </c>
      <c r="I480">
        <v>472</v>
      </c>
      <c r="J480">
        <v>212</v>
      </c>
      <c r="K480" t="s">
        <v>1123</v>
      </c>
      <c r="L480" t="s">
        <v>1124</v>
      </c>
      <c r="M480">
        <v>20</v>
      </c>
      <c r="N480">
        <v>91.8</v>
      </c>
      <c r="O480" s="2">
        <v>38498.974247685182</v>
      </c>
    </row>
    <row r="481" spans="1:15" x14ac:dyDescent="0.25">
      <c r="A481">
        <v>473</v>
      </c>
      <c r="B481">
        <v>341</v>
      </c>
      <c r="C481" t="s">
        <v>966</v>
      </c>
      <c r="D481" t="s">
        <v>967</v>
      </c>
      <c r="E481">
        <v>23</v>
      </c>
      <c r="F481">
        <v>106.77</v>
      </c>
      <c r="G481" s="2">
        <v>38518.440578703703</v>
      </c>
      <c r="I481">
        <v>473</v>
      </c>
      <c r="J481">
        <v>33</v>
      </c>
      <c r="K481" t="s">
        <v>1068</v>
      </c>
      <c r="L481" t="s">
        <v>1069</v>
      </c>
      <c r="M481">
        <v>21</v>
      </c>
      <c r="N481">
        <v>91.79</v>
      </c>
      <c r="O481" s="2">
        <v>38518.440578703703</v>
      </c>
    </row>
    <row r="482" spans="1:15" x14ac:dyDescent="0.25">
      <c r="A482">
        <v>474</v>
      </c>
      <c r="B482">
        <v>345</v>
      </c>
      <c r="C482" t="s">
        <v>968</v>
      </c>
      <c r="D482" t="s">
        <v>969</v>
      </c>
      <c r="E482">
        <v>23</v>
      </c>
      <c r="F482">
        <v>106.77</v>
      </c>
      <c r="G482" s="2">
        <v>38498.334652777776</v>
      </c>
      <c r="I482">
        <v>474</v>
      </c>
      <c r="J482">
        <v>222</v>
      </c>
      <c r="K482" t="s">
        <v>1083</v>
      </c>
      <c r="L482" t="s">
        <v>1084</v>
      </c>
      <c r="M482">
        <v>21</v>
      </c>
      <c r="N482">
        <v>91.79</v>
      </c>
      <c r="O482" s="2">
        <v>38498.334652777776</v>
      </c>
    </row>
    <row r="483" spans="1:15" x14ac:dyDescent="0.25">
      <c r="A483">
        <v>475</v>
      </c>
      <c r="B483">
        <v>379</v>
      </c>
      <c r="C483" t="s">
        <v>978</v>
      </c>
      <c r="D483" t="s">
        <v>979</v>
      </c>
      <c r="E483">
        <v>23</v>
      </c>
      <c r="F483">
        <v>106.77</v>
      </c>
      <c r="G483" s="2">
        <v>38498.34306712963</v>
      </c>
      <c r="I483">
        <v>475</v>
      </c>
      <c r="J483">
        <v>399</v>
      </c>
      <c r="K483" t="s">
        <v>1092</v>
      </c>
      <c r="L483" t="s">
        <v>1093</v>
      </c>
      <c r="M483">
        <v>21</v>
      </c>
      <c r="N483">
        <v>91.79</v>
      </c>
      <c r="O483" s="2">
        <v>38498.34306712963</v>
      </c>
    </row>
    <row r="484" spans="1:15" x14ac:dyDescent="0.25">
      <c r="A484">
        <v>476</v>
      </c>
      <c r="B484">
        <v>409</v>
      </c>
      <c r="C484" t="s">
        <v>982</v>
      </c>
      <c r="D484" t="s">
        <v>983</v>
      </c>
      <c r="E484">
        <v>23</v>
      </c>
      <c r="F484">
        <v>104.77</v>
      </c>
      <c r="G484" s="2">
        <v>38498.945219907408</v>
      </c>
      <c r="I484">
        <v>476</v>
      </c>
      <c r="J484">
        <v>18</v>
      </c>
      <c r="K484" t="s">
        <v>1009</v>
      </c>
      <c r="L484" t="s">
        <v>1010</v>
      </c>
      <c r="M484">
        <v>22</v>
      </c>
      <c r="N484">
        <v>91.78</v>
      </c>
      <c r="O484" s="2">
        <v>38498.945219907408</v>
      </c>
    </row>
    <row r="485" spans="1:15" x14ac:dyDescent="0.25">
      <c r="A485">
        <v>477</v>
      </c>
      <c r="B485">
        <v>466</v>
      </c>
      <c r="C485" t="s">
        <v>994</v>
      </c>
      <c r="D485" t="s">
        <v>995</v>
      </c>
      <c r="E485">
        <v>23</v>
      </c>
      <c r="F485">
        <v>104.77</v>
      </c>
      <c r="G485" s="2">
        <v>38503.604178240741</v>
      </c>
      <c r="I485">
        <v>477</v>
      </c>
      <c r="J485">
        <v>325</v>
      </c>
      <c r="K485" t="s">
        <v>1036</v>
      </c>
      <c r="L485" t="s">
        <v>1037</v>
      </c>
      <c r="M485">
        <v>22</v>
      </c>
      <c r="N485">
        <v>91.78</v>
      </c>
      <c r="O485" s="2">
        <v>38503.604178240741</v>
      </c>
    </row>
    <row r="486" spans="1:15" x14ac:dyDescent="0.25">
      <c r="A486">
        <v>478</v>
      </c>
      <c r="B486">
        <v>365</v>
      </c>
      <c r="C486" t="s">
        <v>976</v>
      </c>
      <c r="D486" t="s">
        <v>977</v>
      </c>
      <c r="E486">
        <v>23</v>
      </c>
      <c r="F486">
        <v>103.77</v>
      </c>
      <c r="G486" s="2">
        <v>38497.81790509259</v>
      </c>
      <c r="I486">
        <v>478</v>
      </c>
      <c r="J486">
        <v>93</v>
      </c>
      <c r="K486" t="s">
        <v>931</v>
      </c>
      <c r="L486" t="s">
        <v>932</v>
      </c>
      <c r="M486">
        <v>23</v>
      </c>
      <c r="N486">
        <v>91.77</v>
      </c>
      <c r="O486" s="2">
        <v>38497.81790509259</v>
      </c>
    </row>
    <row r="487" spans="1:15" x14ac:dyDescent="0.25">
      <c r="A487">
        <v>479</v>
      </c>
      <c r="B487">
        <v>519</v>
      </c>
      <c r="C487" t="s">
        <v>998</v>
      </c>
      <c r="D487" t="s">
        <v>999</v>
      </c>
      <c r="E487">
        <v>23</v>
      </c>
      <c r="F487">
        <v>103.77</v>
      </c>
      <c r="G487" s="2">
        <v>38503.32508101852</v>
      </c>
      <c r="I487">
        <v>479</v>
      </c>
      <c r="J487">
        <v>392</v>
      </c>
      <c r="K487" t="s">
        <v>980</v>
      </c>
      <c r="L487" t="s">
        <v>981</v>
      </c>
      <c r="M487">
        <v>23</v>
      </c>
      <c r="N487">
        <v>91.77</v>
      </c>
      <c r="O487" s="2">
        <v>38503.32508101852</v>
      </c>
    </row>
    <row r="488" spans="1:15" x14ac:dyDescent="0.25">
      <c r="A488">
        <v>480</v>
      </c>
      <c r="B488">
        <v>106</v>
      </c>
      <c r="C488" t="s">
        <v>933</v>
      </c>
      <c r="D488" t="s">
        <v>842</v>
      </c>
      <c r="E488">
        <v>23</v>
      </c>
      <c r="F488">
        <v>100.77</v>
      </c>
      <c r="G488" s="2">
        <v>38500.328912037039</v>
      </c>
      <c r="I488">
        <v>480</v>
      </c>
      <c r="J488">
        <v>99</v>
      </c>
      <c r="K488" t="s">
        <v>863</v>
      </c>
      <c r="L488" t="s">
        <v>864</v>
      </c>
      <c r="M488">
        <v>24</v>
      </c>
      <c r="N488">
        <v>91.76</v>
      </c>
      <c r="O488" s="2">
        <v>38500.328912037039</v>
      </c>
    </row>
    <row r="489" spans="1:15" x14ac:dyDescent="0.25">
      <c r="A489">
        <v>481</v>
      </c>
      <c r="B489">
        <v>67</v>
      </c>
      <c r="C489" t="s">
        <v>597</v>
      </c>
      <c r="D489" t="s">
        <v>1017</v>
      </c>
      <c r="E489">
        <v>22</v>
      </c>
      <c r="F489">
        <v>99.78</v>
      </c>
      <c r="G489" s="2">
        <v>38499.098912037036</v>
      </c>
      <c r="I489">
        <v>481</v>
      </c>
      <c r="J489">
        <v>382</v>
      </c>
      <c r="K489" t="s">
        <v>892</v>
      </c>
      <c r="L489" t="s">
        <v>893</v>
      </c>
      <c r="M489">
        <v>24</v>
      </c>
      <c r="N489">
        <v>91.76</v>
      </c>
      <c r="O489" s="2">
        <v>38499.098912037036</v>
      </c>
    </row>
    <row r="490" spans="1:15" x14ac:dyDescent="0.25">
      <c r="A490">
        <v>482</v>
      </c>
      <c r="B490">
        <v>443</v>
      </c>
      <c r="C490" t="s">
        <v>987</v>
      </c>
      <c r="D490" t="s">
        <v>1044</v>
      </c>
      <c r="E490">
        <v>22</v>
      </c>
      <c r="F490">
        <v>98.78</v>
      </c>
      <c r="G490" s="2">
        <v>38503.39739583333</v>
      </c>
      <c r="I490">
        <v>482</v>
      </c>
      <c r="J490">
        <v>564</v>
      </c>
      <c r="K490" t="s">
        <v>916</v>
      </c>
      <c r="L490" t="s">
        <v>917</v>
      </c>
      <c r="M490">
        <v>24</v>
      </c>
      <c r="N490">
        <v>91.76</v>
      </c>
      <c r="O490" s="2">
        <v>38503.39739583333</v>
      </c>
    </row>
    <row r="491" spans="1:15" x14ac:dyDescent="0.25">
      <c r="A491">
        <v>483</v>
      </c>
      <c r="B491">
        <v>544</v>
      </c>
      <c r="C491" t="s">
        <v>1059</v>
      </c>
      <c r="D491" t="s">
        <v>1060</v>
      </c>
      <c r="E491">
        <v>22</v>
      </c>
      <c r="F491">
        <v>98.78</v>
      </c>
      <c r="G491" s="2">
        <v>38499.520162037035</v>
      </c>
      <c r="I491">
        <v>483</v>
      </c>
      <c r="J491">
        <v>435</v>
      </c>
      <c r="K491" t="s">
        <v>820</v>
      </c>
      <c r="L491" t="s">
        <v>821</v>
      </c>
      <c r="M491">
        <v>25</v>
      </c>
      <c r="N491">
        <v>91.75</v>
      </c>
      <c r="O491" s="2">
        <v>38499.520162037035</v>
      </c>
    </row>
    <row r="492" spans="1:15" x14ac:dyDescent="0.25">
      <c r="A492">
        <v>484</v>
      </c>
      <c r="B492">
        <v>578</v>
      </c>
      <c r="C492" t="s">
        <v>1063</v>
      </c>
      <c r="D492" t="s">
        <v>1064</v>
      </c>
      <c r="E492">
        <v>22</v>
      </c>
      <c r="F492">
        <v>96.78</v>
      </c>
      <c r="G492" s="2">
        <v>38500.870497685188</v>
      </c>
      <c r="I492">
        <v>484</v>
      </c>
      <c r="J492">
        <v>463</v>
      </c>
      <c r="K492" t="s">
        <v>826</v>
      </c>
      <c r="L492" t="s">
        <v>827</v>
      </c>
      <c r="M492">
        <v>25</v>
      </c>
      <c r="N492">
        <v>91.75</v>
      </c>
      <c r="O492" s="2">
        <v>38500.870497685188</v>
      </c>
    </row>
    <row r="493" spans="1:15" x14ac:dyDescent="0.25">
      <c r="A493">
        <v>485</v>
      </c>
      <c r="B493">
        <v>169</v>
      </c>
      <c r="C493" t="s">
        <v>1024</v>
      </c>
      <c r="D493" t="s">
        <v>1025</v>
      </c>
      <c r="E493">
        <v>22</v>
      </c>
      <c r="F493">
        <v>95.78</v>
      </c>
      <c r="G493" s="2">
        <v>38500.186550925922</v>
      </c>
      <c r="I493">
        <v>485</v>
      </c>
      <c r="J493">
        <v>208</v>
      </c>
      <c r="K493" t="s">
        <v>685</v>
      </c>
      <c r="L493" t="s">
        <v>686</v>
      </c>
      <c r="M493">
        <v>26</v>
      </c>
      <c r="N493">
        <v>91.74</v>
      </c>
      <c r="O493" s="2">
        <v>38500.186550925922</v>
      </c>
    </row>
    <row r="494" spans="1:15" x14ac:dyDescent="0.25">
      <c r="A494">
        <v>486</v>
      </c>
      <c r="B494">
        <v>476</v>
      </c>
      <c r="C494" t="s">
        <v>1045</v>
      </c>
      <c r="D494" t="s">
        <v>1046</v>
      </c>
      <c r="E494">
        <v>22</v>
      </c>
      <c r="F494">
        <v>95.78</v>
      </c>
      <c r="G494" s="2">
        <v>38500.006388888891</v>
      </c>
      <c r="I494">
        <v>486</v>
      </c>
      <c r="J494">
        <v>215</v>
      </c>
      <c r="K494" t="s">
        <v>231</v>
      </c>
      <c r="L494" t="s">
        <v>687</v>
      </c>
      <c r="M494">
        <v>26</v>
      </c>
      <c r="N494">
        <v>91.74</v>
      </c>
      <c r="O494" s="2">
        <v>38500.006388888891</v>
      </c>
    </row>
    <row r="495" spans="1:15" x14ac:dyDescent="0.25">
      <c r="A495">
        <v>487</v>
      </c>
      <c r="B495">
        <v>488</v>
      </c>
      <c r="C495" t="s">
        <v>1051</v>
      </c>
      <c r="D495" t="s">
        <v>1052</v>
      </c>
      <c r="E495">
        <v>22</v>
      </c>
      <c r="F495">
        <v>95.78</v>
      </c>
      <c r="G495" s="2">
        <v>38519.410868055558</v>
      </c>
      <c r="I495">
        <v>487</v>
      </c>
      <c r="J495">
        <v>115</v>
      </c>
      <c r="K495" t="s">
        <v>370</v>
      </c>
      <c r="L495" t="s">
        <v>371</v>
      </c>
      <c r="M495">
        <v>30</v>
      </c>
      <c r="N495">
        <v>91.7</v>
      </c>
      <c r="O495" s="2">
        <v>38519.410868055558</v>
      </c>
    </row>
    <row r="496" spans="1:15" x14ac:dyDescent="0.25">
      <c r="A496">
        <v>488</v>
      </c>
      <c r="B496">
        <v>68</v>
      </c>
      <c r="C496" t="s">
        <v>1018</v>
      </c>
      <c r="D496" t="s">
        <v>1019</v>
      </c>
      <c r="E496">
        <v>22</v>
      </c>
      <c r="F496">
        <v>94.78</v>
      </c>
      <c r="G496" s="2">
        <v>38519.91983796296</v>
      </c>
      <c r="I496">
        <v>488</v>
      </c>
      <c r="J496">
        <v>552</v>
      </c>
      <c r="K496" t="s">
        <v>1112</v>
      </c>
      <c r="L496" t="s">
        <v>1113</v>
      </c>
      <c r="M496">
        <v>21</v>
      </c>
      <c r="N496">
        <v>90.79</v>
      </c>
      <c r="O496" s="2">
        <v>38519.91983796296</v>
      </c>
    </row>
    <row r="497" spans="1:15" x14ac:dyDescent="0.25">
      <c r="A497">
        <v>489</v>
      </c>
      <c r="B497">
        <v>81</v>
      </c>
      <c r="C497" t="s">
        <v>1022</v>
      </c>
      <c r="D497" t="s">
        <v>1023</v>
      </c>
      <c r="E497">
        <v>22</v>
      </c>
      <c r="F497">
        <v>93.78</v>
      </c>
      <c r="G497" s="2">
        <v>38498.834131944444</v>
      </c>
      <c r="I497">
        <v>489</v>
      </c>
      <c r="J497">
        <v>539</v>
      </c>
      <c r="K497" t="s">
        <v>1055</v>
      </c>
      <c r="L497" t="s">
        <v>1056</v>
      </c>
      <c r="M497">
        <v>22</v>
      </c>
      <c r="N497">
        <v>90.78</v>
      </c>
      <c r="O497" s="2">
        <v>38498.834131944444</v>
      </c>
    </row>
    <row r="498" spans="1:15" x14ac:dyDescent="0.25">
      <c r="A498">
        <v>490</v>
      </c>
      <c r="B498">
        <v>189</v>
      </c>
      <c r="C498" t="s">
        <v>1026</v>
      </c>
      <c r="D498" t="s">
        <v>1027</v>
      </c>
      <c r="E498">
        <v>22</v>
      </c>
      <c r="F498">
        <v>93.78</v>
      </c>
      <c r="G498" s="2">
        <v>38503.677442129629</v>
      </c>
      <c r="I498">
        <v>490</v>
      </c>
      <c r="J498">
        <v>184</v>
      </c>
      <c r="K498" t="s">
        <v>942</v>
      </c>
      <c r="L498" t="s">
        <v>943</v>
      </c>
      <c r="M498">
        <v>23</v>
      </c>
      <c r="N498">
        <v>90.77</v>
      </c>
      <c r="O498" s="2">
        <v>38503.677442129629</v>
      </c>
    </row>
    <row r="499" spans="1:15" x14ac:dyDescent="0.25">
      <c r="A499">
        <v>491</v>
      </c>
      <c r="B499">
        <v>523</v>
      </c>
      <c r="C499" t="s">
        <v>691</v>
      </c>
      <c r="D499" t="s">
        <v>1054</v>
      </c>
      <c r="E499">
        <v>22</v>
      </c>
      <c r="F499">
        <v>93.78</v>
      </c>
      <c r="G499" s="2">
        <v>38497.225671296299</v>
      </c>
      <c r="I499">
        <v>491</v>
      </c>
      <c r="J499">
        <v>328</v>
      </c>
      <c r="K499" t="s">
        <v>963</v>
      </c>
      <c r="L499" t="s">
        <v>964</v>
      </c>
      <c r="M499">
        <v>23</v>
      </c>
      <c r="N499">
        <v>90.77</v>
      </c>
      <c r="O499" s="2">
        <v>38497.225671296299</v>
      </c>
    </row>
    <row r="500" spans="1:15" x14ac:dyDescent="0.25">
      <c r="A500">
        <v>492</v>
      </c>
      <c r="B500">
        <v>18</v>
      </c>
      <c r="C500" t="s">
        <v>1009</v>
      </c>
      <c r="D500" t="s">
        <v>1010</v>
      </c>
      <c r="E500">
        <v>22</v>
      </c>
      <c r="F500">
        <v>91.78</v>
      </c>
      <c r="G500" s="2">
        <v>38497.281168981484</v>
      </c>
      <c r="I500">
        <v>492</v>
      </c>
      <c r="J500">
        <v>501</v>
      </c>
      <c r="K500" t="s">
        <v>1106</v>
      </c>
      <c r="L500" t="s">
        <v>1107</v>
      </c>
      <c r="M500">
        <v>21</v>
      </c>
      <c r="N500">
        <v>89.79</v>
      </c>
      <c r="O500" s="2">
        <v>38497.281168981484</v>
      </c>
    </row>
    <row r="501" spans="1:15" x14ac:dyDescent="0.25">
      <c r="A501">
        <v>493</v>
      </c>
      <c r="B501">
        <v>325</v>
      </c>
      <c r="C501" t="s">
        <v>1036</v>
      </c>
      <c r="D501" t="s">
        <v>1037</v>
      </c>
      <c r="E501">
        <v>22</v>
      </c>
      <c r="F501">
        <v>91.78</v>
      </c>
      <c r="G501" s="2">
        <v>38497.904699074075</v>
      </c>
      <c r="I501">
        <v>493</v>
      </c>
      <c r="J501">
        <v>545</v>
      </c>
      <c r="K501" t="s">
        <v>1110</v>
      </c>
      <c r="L501" t="s">
        <v>1111</v>
      </c>
      <c r="M501">
        <v>21</v>
      </c>
      <c r="N501">
        <v>89.79</v>
      </c>
      <c r="O501" s="2">
        <v>38497.904699074075</v>
      </c>
    </row>
    <row r="502" spans="1:15" x14ac:dyDescent="0.25">
      <c r="A502">
        <v>494</v>
      </c>
      <c r="B502">
        <v>539</v>
      </c>
      <c r="C502" t="s">
        <v>1055</v>
      </c>
      <c r="D502" t="s">
        <v>1056</v>
      </c>
      <c r="E502">
        <v>22</v>
      </c>
      <c r="F502">
        <v>90.78</v>
      </c>
      <c r="G502" s="2">
        <v>38498.604444444441</v>
      </c>
      <c r="I502">
        <v>494</v>
      </c>
      <c r="J502">
        <v>143</v>
      </c>
      <c r="K502" t="s">
        <v>148</v>
      </c>
      <c r="L502" t="s">
        <v>289</v>
      </c>
      <c r="M502">
        <v>22</v>
      </c>
      <c r="N502">
        <v>89.78</v>
      </c>
      <c r="O502" s="2">
        <v>38498.604444444441</v>
      </c>
    </row>
    <row r="503" spans="1:15" x14ac:dyDescent="0.25">
      <c r="A503">
        <v>495</v>
      </c>
      <c r="B503">
        <v>143</v>
      </c>
      <c r="C503" t="s">
        <v>148</v>
      </c>
      <c r="D503" t="s">
        <v>289</v>
      </c>
      <c r="E503">
        <v>22</v>
      </c>
      <c r="F503">
        <v>89.78</v>
      </c>
      <c r="G503" s="2">
        <v>38498.426493055558</v>
      </c>
      <c r="I503">
        <v>495</v>
      </c>
      <c r="J503">
        <v>9</v>
      </c>
      <c r="K503" t="s">
        <v>921</v>
      </c>
      <c r="L503" t="s">
        <v>922</v>
      </c>
      <c r="M503">
        <v>23</v>
      </c>
      <c r="N503">
        <v>89.77</v>
      </c>
      <c r="O503" s="2">
        <v>38498.426493055558</v>
      </c>
    </row>
    <row r="504" spans="1:15" x14ac:dyDescent="0.25">
      <c r="A504">
        <v>496</v>
      </c>
      <c r="B504">
        <v>440</v>
      </c>
      <c r="C504" t="s">
        <v>1042</v>
      </c>
      <c r="D504" t="s">
        <v>1043</v>
      </c>
      <c r="E504">
        <v>22</v>
      </c>
      <c r="F504">
        <v>88.78</v>
      </c>
      <c r="G504" s="2">
        <v>38502.745474537034</v>
      </c>
      <c r="I504">
        <v>496</v>
      </c>
      <c r="J504">
        <v>233</v>
      </c>
      <c r="K504" t="s">
        <v>951</v>
      </c>
      <c r="L504" t="s">
        <v>952</v>
      </c>
      <c r="M504">
        <v>23</v>
      </c>
      <c r="N504">
        <v>89.77</v>
      </c>
      <c r="O504" s="2">
        <v>38502.745474537034</v>
      </c>
    </row>
    <row r="505" spans="1:15" x14ac:dyDescent="0.25">
      <c r="A505">
        <v>497</v>
      </c>
      <c r="B505">
        <v>79</v>
      </c>
      <c r="C505" t="s">
        <v>1020</v>
      </c>
      <c r="D505" t="s">
        <v>1021</v>
      </c>
      <c r="E505">
        <v>22</v>
      </c>
      <c r="F505">
        <v>84.78</v>
      </c>
      <c r="G505" s="2">
        <v>38502.019918981481</v>
      </c>
      <c r="I505">
        <v>497</v>
      </c>
      <c r="J505">
        <v>313</v>
      </c>
      <c r="K505" t="s">
        <v>961</v>
      </c>
      <c r="L505" t="s">
        <v>962</v>
      </c>
      <c r="M505">
        <v>23</v>
      </c>
      <c r="N505">
        <v>89.77</v>
      </c>
      <c r="O505" s="2">
        <v>38502.019918981481</v>
      </c>
    </row>
    <row r="506" spans="1:15" x14ac:dyDescent="0.25">
      <c r="A506">
        <v>498</v>
      </c>
      <c r="B506">
        <v>394</v>
      </c>
      <c r="C506" t="s">
        <v>1039</v>
      </c>
      <c r="D506" t="s">
        <v>1040</v>
      </c>
      <c r="E506">
        <v>22</v>
      </c>
      <c r="F506">
        <v>84.78</v>
      </c>
      <c r="G506" s="2">
        <v>38498.363981481481</v>
      </c>
      <c r="I506">
        <v>498</v>
      </c>
      <c r="J506">
        <v>34</v>
      </c>
      <c r="K506" t="s">
        <v>858</v>
      </c>
      <c r="L506" t="s">
        <v>804</v>
      </c>
      <c r="M506">
        <v>24</v>
      </c>
      <c r="N506">
        <v>89.76</v>
      </c>
      <c r="O506" s="2">
        <v>38498.363981481481</v>
      </c>
    </row>
    <row r="507" spans="1:15" x14ac:dyDescent="0.25">
      <c r="A507">
        <v>499</v>
      </c>
      <c r="B507">
        <v>598</v>
      </c>
      <c r="C507" t="s">
        <v>98</v>
      </c>
      <c r="D507" t="s">
        <v>1065</v>
      </c>
      <c r="E507">
        <v>22</v>
      </c>
      <c r="F507">
        <v>83.78</v>
      </c>
      <c r="G507" s="2">
        <v>38523.423946759256</v>
      </c>
      <c r="I507">
        <v>499</v>
      </c>
      <c r="J507">
        <v>351</v>
      </c>
      <c r="K507" t="s">
        <v>888</v>
      </c>
      <c r="L507" t="s">
        <v>889</v>
      </c>
      <c r="M507">
        <v>24</v>
      </c>
      <c r="N507">
        <v>89.76</v>
      </c>
      <c r="O507" s="2">
        <v>38523.423946759256</v>
      </c>
    </row>
    <row r="508" spans="1:15" x14ac:dyDescent="0.25">
      <c r="A508">
        <v>500</v>
      </c>
      <c r="B508">
        <v>543</v>
      </c>
      <c r="C508" t="s">
        <v>1057</v>
      </c>
      <c r="D508" t="s">
        <v>1058</v>
      </c>
      <c r="E508">
        <v>22</v>
      </c>
      <c r="F508">
        <v>82.78</v>
      </c>
      <c r="G508" s="2">
        <v>38498.545891203707</v>
      </c>
      <c r="I508">
        <v>500</v>
      </c>
      <c r="J508">
        <v>384</v>
      </c>
      <c r="K508" t="s">
        <v>810</v>
      </c>
      <c r="L508" t="s">
        <v>811</v>
      </c>
      <c r="M508">
        <v>25</v>
      </c>
      <c r="N508">
        <v>89.75</v>
      </c>
      <c r="O508" s="2">
        <v>38498.545891203707</v>
      </c>
    </row>
    <row r="509" spans="1:15" x14ac:dyDescent="0.25">
      <c r="A509">
        <v>501</v>
      </c>
      <c r="B509">
        <v>4</v>
      </c>
      <c r="C509" t="s">
        <v>1007</v>
      </c>
      <c r="D509" t="s">
        <v>1008</v>
      </c>
      <c r="E509">
        <v>22</v>
      </c>
      <c r="F509">
        <v>81.78</v>
      </c>
      <c r="G509" s="2">
        <v>38518.396851851852</v>
      </c>
      <c r="I509">
        <v>501</v>
      </c>
      <c r="J509">
        <v>419</v>
      </c>
      <c r="K509" t="s">
        <v>816</v>
      </c>
      <c r="L509" t="s">
        <v>817</v>
      </c>
      <c r="M509">
        <v>25</v>
      </c>
      <c r="N509">
        <v>89.75</v>
      </c>
      <c r="O509" s="2">
        <v>38518.396851851852</v>
      </c>
    </row>
    <row r="510" spans="1:15" x14ac:dyDescent="0.25">
      <c r="A510">
        <v>502</v>
      </c>
      <c r="B510">
        <v>430</v>
      </c>
      <c r="C510" t="s">
        <v>449</v>
      </c>
      <c r="D510" t="s">
        <v>1041</v>
      </c>
      <c r="E510">
        <v>22</v>
      </c>
      <c r="F510">
        <v>79.78</v>
      </c>
      <c r="G510" s="2">
        <v>38497.167731481481</v>
      </c>
      <c r="I510">
        <v>502</v>
      </c>
      <c r="J510">
        <v>357</v>
      </c>
      <c r="K510" t="s">
        <v>715</v>
      </c>
      <c r="L510" t="s">
        <v>716</v>
      </c>
      <c r="M510">
        <v>26</v>
      </c>
      <c r="N510">
        <v>89.74</v>
      </c>
      <c r="O510" s="2">
        <v>38497.167731481481</v>
      </c>
    </row>
    <row r="511" spans="1:15" x14ac:dyDescent="0.25">
      <c r="A511">
        <v>503</v>
      </c>
      <c r="B511">
        <v>224</v>
      </c>
      <c r="C511" t="s">
        <v>1028</v>
      </c>
      <c r="D511" t="s">
        <v>1029</v>
      </c>
      <c r="E511">
        <v>22</v>
      </c>
      <c r="F511">
        <v>76.78</v>
      </c>
      <c r="G511" s="2">
        <v>38518.75571759259</v>
      </c>
      <c r="I511">
        <v>503</v>
      </c>
      <c r="J511">
        <v>450</v>
      </c>
      <c r="K511" t="s">
        <v>735</v>
      </c>
      <c r="L511" t="s">
        <v>736</v>
      </c>
      <c r="M511">
        <v>26</v>
      </c>
      <c r="N511">
        <v>89.74</v>
      </c>
      <c r="O511" s="2">
        <v>38518.75571759259</v>
      </c>
    </row>
    <row r="512" spans="1:15" x14ac:dyDescent="0.25">
      <c r="A512">
        <v>504</v>
      </c>
      <c r="B512">
        <v>514</v>
      </c>
      <c r="C512" t="s">
        <v>786</v>
      </c>
      <c r="D512" t="s">
        <v>1053</v>
      </c>
      <c r="E512">
        <v>22</v>
      </c>
      <c r="F512">
        <v>74.78</v>
      </c>
      <c r="G512" s="2">
        <v>38500.262187499997</v>
      </c>
      <c r="I512">
        <v>504</v>
      </c>
      <c r="J512">
        <v>483</v>
      </c>
      <c r="K512" t="s">
        <v>1189</v>
      </c>
      <c r="L512" t="s">
        <v>1190</v>
      </c>
      <c r="M512">
        <v>18</v>
      </c>
      <c r="N512">
        <v>88.82</v>
      </c>
      <c r="O512" s="2">
        <v>38500.262187499997</v>
      </c>
    </row>
    <row r="513" spans="1:15" x14ac:dyDescent="0.25">
      <c r="A513">
        <v>505</v>
      </c>
      <c r="B513">
        <v>252</v>
      </c>
      <c r="C513" t="s">
        <v>1032</v>
      </c>
      <c r="D513" t="s">
        <v>1033</v>
      </c>
      <c r="E513">
        <v>22</v>
      </c>
      <c r="F513">
        <v>64.78</v>
      </c>
      <c r="G513" s="2">
        <v>38501.137719907405</v>
      </c>
      <c r="I513">
        <v>505</v>
      </c>
      <c r="J513">
        <v>203</v>
      </c>
      <c r="K513" t="s">
        <v>1122</v>
      </c>
      <c r="L513" t="s">
        <v>400</v>
      </c>
      <c r="M513">
        <v>20</v>
      </c>
      <c r="N513">
        <v>88.8</v>
      </c>
      <c r="O513" s="2">
        <v>38501.137719907405</v>
      </c>
    </row>
    <row r="514" spans="1:15" x14ac:dyDescent="0.25">
      <c r="A514">
        <v>506</v>
      </c>
      <c r="B514">
        <v>321</v>
      </c>
      <c r="C514" t="s">
        <v>1034</v>
      </c>
      <c r="D514" t="s">
        <v>1035</v>
      </c>
      <c r="E514">
        <v>22</v>
      </c>
      <c r="F514">
        <v>116.78</v>
      </c>
      <c r="G514" s="2">
        <v>38498.300243055557</v>
      </c>
      <c r="I514">
        <v>506</v>
      </c>
      <c r="J514">
        <v>496</v>
      </c>
      <c r="K514" t="s">
        <v>1104</v>
      </c>
      <c r="L514" t="s">
        <v>1105</v>
      </c>
      <c r="M514">
        <v>21</v>
      </c>
      <c r="N514">
        <v>88.79</v>
      </c>
      <c r="O514" s="2">
        <v>38498.300243055557</v>
      </c>
    </row>
    <row r="515" spans="1:15" x14ac:dyDescent="0.25">
      <c r="A515">
        <v>507</v>
      </c>
      <c r="B515">
        <v>22</v>
      </c>
      <c r="C515" t="s">
        <v>1011</v>
      </c>
      <c r="D515" t="s">
        <v>1012</v>
      </c>
      <c r="E515">
        <v>22</v>
      </c>
      <c r="F515">
        <v>113.78</v>
      </c>
      <c r="G515" s="2">
        <v>38499.326192129629</v>
      </c>
      <c r="I515">
        <v>507</v>
      </c>
      <c r="J515">
        <v>440</v>
      </c>
      <c r="K515" t="s">
        <v>1042</v>
      </c>
      <c r="L515" t="s">
        <v>1043</v>
      </c>
      <c r="M515">
        <v>22</v>
      </c>
      <c r="N515">
        <v>88.78</v>
      </c>
      <c r="O515" s="2">
        <v>38499.326192129629</v>
      </c>
    </row>
    <row r="516" spans="1:15" x14ac:dyDescent="0.25">
      <c r="A516">
        <v>508</v>
      </c>
      <c r="B516">
        <v>477</v>
      </c>
      <c r="C516" t="s">
        <v>1047</v>
      </c>
      <c r="D516" t="s">
        <v>1048</v>
      </c>
      <c r="E516">
        <v>22</v>
      </c>
      <c r="F516">
        <v>109.78</v>
      </c>
      <c r="G516" s="2">
        <v>38502.261180555557</v>
      </c>
      <c r="I516">
        <v>508</v>
      </c>
      <c r="J516">
        <v>534</v>
      </c>
      <c r="K516" t="s">
        <v>906</v>
      </c>
      <c r="L516" t="s">
        <v>907</v>
      </c>
      <c r="M516">
        <v>24</v>
      </c>
      <c r="N516">
        <v>88.76</v>
      </c>
      <c r="O516" s="2">
        <v>38502.261180555557</v>
      </c>
    </row>
    <row r="517" spans="1:15" x14ac:dyDescent="0.25">
      <c r="A517">
        <v>509</v>
      </c>
      <c r="B517">
        <v>47</v>
      </c>
      <c r="C517" t="s">
        <v>1013</v>
      </c>
      <c r="D517" t="s">
        <v>1014</v>
      </c>
      <c r="E517">
        <v>22</v>
      </c>
      <c r="F517">
        <v>108.78</v>
      </c>
      <c r="G517" s="2">
        <v>38498.15724537037</v>
      </c>
      <c r="I517">
        <v>509</v>
      </c>
      <c r="J517">
        <v>369</v>
      </c>
      <c r="K517" t="s">
        <v>808</v>
      </c>
      <c r="L517" t="s">
        <v>809</v>
      </c>
      <c r="M517">
        <v>25</v>
      </c>
      <c r="N517">
        <v>88.75</v>
      </c>
      <c r="O517" s="2">
        <v>38498.15724537037</v>
      </c>
    </row>
    <row r="518" spans="1:15" x14ac:dyDescent="0.25">
      <c r="A518">
        <v>510</v>
      </c>
      <c r="B518">
        <v>247</v>
      </c>
      <c r="C518" t="s">
        <v>1030</v>
      </c>
      <c r="D518" t="s">
        <v>1031</v>
      </c>
      <c r="E518">
        <v>22</v>
      </c>
      <c r="F518">
        <v>104.78</v>
      </c>
      <c r="G518" s="2">
        <v>38498.251168981478</v>
      </c>
      <c r="I518">
        <v>510</v>
      </c>
      <c r="J518">
        <v>278</v>
      </c>
      <c r="K518" t="s">
        <v>700</v>
      </c>
      <c r="L518" t="s">
        <v>701</v>
      </c>
      <c r="M518">
        <v>26</v>
      </c>
      <c r="N518">
        <v>88.74</v>
      </c>
      <c r="O518" s="2">
        <v>38498.251168981478</v>
      </c>
    </row>
    <row r="519" spans="1:15" x14ac:dyDescent="0.25">
      <c r="A519">
        <v>511</v>
      </c>
      <c r="B519">
        <v>65</v>
      </c>
      <c r="C519" t="s">
        <v>310</v>
      </c>
      <c r="D519" t="s">
        <v>717</v>
      </c>
      <c r="E519">
        <v>22</v>
      </c>
      <c r="F519">
        <v>103.78</v>
      </c>
      <c r="G519" s="2">
        <v>38498.856481481482</v>
      </c>
      <c r="I519">
        <v>511</v>
      </c>
      <c r="J519">
        <v>194</v>
      </c>
      <c r="K519" t="s">
        <v>1176</v>
      </c>
      <c r="L519" t="s">
        <v>1177</v>
      </c>
      <c r="M519">
        <v>18</v>
      </c>
      <c r="N519">
        <v>87.82</v>
      </c>
      <c r="O519" s="2">
        <v>38498.856481481482</v>
      </c>
    </row>
    <row r="520" spans="1:15" x14ac:dyDescent="0.25">
      <c r="A520">
        <v>512</v>
      </c>
      <c r="B520">
        <v>367</v>
      </c>
      <c r="C520" t="s">
        <v>570</v>
      </c>
      <c r="D520" t="s">
        <v>1038</v>
      </c>
      <c r="E520">
        <v>22</v>
      </c>
      <c r="F520">
        <v>101.78</v>
      </c>
      <c r="G520" s="2">
        <v>38502.617754629631</v>
      </c>
      <c r="I520">
        <v>512</v>
      </c>
      <c r="J520">
        <v>524</v>
      </c>
      <c r="K520" t="s">
        <v>1158</v>
      </c>
      <c r="L520" t="s">
        <v>1159</v>
      </c>
      <c r="M520">
        <v>19</v>
      </c>
      <c r="N520">
        <v>87.81</v>
      </c>
      <c r="O520" s="2">
        <v>38502.617754629631</v>
      </c>
    </row>
    <row r="521" spans="1:15" x14ac:dyDescent="0.25">
      <c r="A521">
        <v>513</v>
      </c>
      <c r="B521">
        <v>480</v>
      </c>
      <c r="C521" t="s">
        <v>1049</v>
      </c>
      <c r="D521" t="s">
        <v>1050</v>
      </c>
      <c r="E521">
        <v>22</v>
      </c>
      <c r="F521">
        <v>101.78</v>
      </c>
      <c r="G521" s="2">
        <v>38500.137523148151</v>
      </c>
      <c r="I521">
        <v>513</v>
      </c>
      <c r="J521">
        <v>88</v>
      </c>
      <c r="K521" t="s">
        <v>1070</v>
      </c>
      <c r="L521" t="s">
        <v>1071</v>
      </c>
      <c r="M521">
        <v>21</v>
      </c>
      <c r="N521">
        <v>87.79</v>
      </c>
      <c r="O521" s="2">
        <v>38500.137523148151</v>
      </c>
    </row>
    <row r="522" spans="1:15" x14ac:dyDescent="0.25">
      <c r="A522">
        <v>514</v>
      </c>
      <c r="B522">
        <v>554</v>
      </c>
      <c r="C522" t="s">
        <v>1061</v>
      </c>
      <c r="D522" t="s">
        <v>1062</v>
      </c>
      <c r="E522">
        <v>22</v>
      </c>
      <c r="F522">
        <v>101.78</v>
      </c>
      <c r="G522" s="2">
        <v>38500.626863425925</v>
      </c>
      <c r="I522">
        <v>514</v>
      </c>
      <c r="J522">
        <v>226</v>
      </c>
      <c r="K522" t="s">
        <v>1085</v>
      </c>
      <c r="L522" t="s">
        <v>1086</v>
      </c>
      <c r="M522">
        <v>21</v>
      </c>
      <c r="N522">
        <v>87.79</v>
      </c>
      <c r="O522" s="2">
        <v>38500.626863425925</v>
      </c>
    </row>
    <row r="523" spans="1:15" x14ac:dyDescent="0.25">
      <c r="A523">
        <v>515</v>
      </c>
      <c r="B523">
        <v>55</v>
      </c>
      <c r="C523" t="s">
        <v>1015</v>
      </c>
      <c r="D523" t="s">
        <v>1016</v>
      </c>
      <c r="E523">
        <v>22</v>
      </c>
      <c r="F523">
        <v>100.78</v>
      </c>
      <c r="G523" s="2">
        <v>38500.355023148149</v>
      </c>
      <c r="I523">
        <v>515</v>
      </c>
      <c r="J523">
        <v>85</v>
      </c>
      <c r="K523" t="s">
        <v>929</v>
      </c>
      <c r="L523" t="s">
        <v>930</v>
      </c>
      <c r="M523">
        <v>23</v>
      </c>
      <c r="N523">
        <v>87.77</v>
      </c>
      <c r="O523" s="2">
        <v>38500.355023148149</v>
      </c>
    </row>
    <row r="524" spans="1:15" x14ac:dyDescent="0.25">
      <c r="A524">
        <v>516</v>
      </c>
      <c r="B524">
        <v>489</v>
      </c>
      <c r="C524" t="s">
        <v>1102</v>
      </c>
      <c r="D524" t="s">
        <v>1103</v>
      </c>
      <c r="E524">
        <v>21</v>
      </c>
      <c r="F524">
        <v>99.79</v>
      </c>
      <c r="G524" s="2">
        <v>38498.403993055559</v>
      </c>
      <c r="I524">
        <v>516</v>
      </c>
      <c r="J524">
        <v>227</v>
      </c>
      <c r="K524" t="s">
        <v>881</v>
      </c>
      <c r="L524" t="s">
        <v>882</v>
      </c>
      <c r="M524">
        <v>24</v>
      </c>
      <c r="N524">
        <v>87.76</v>
      </c>
      <c r="O524" s="2">
        <v>38498.403993055559</v>
      </c>
    </row>
    <row r="525" spans="1:15" x14ac:dyDescent="0.25">
      <c r="A525">
        <v>517</v>
      </c>
      <c r="B525">
        <v>17</v>
      </c>
      <c r="C525" t="s">
        <v>1066</v>
      </c>
      <c r="D525" t="s">
        <v>1067</v>
      </c>
      <c r="E525">
        <v>21</v>
      </c>
      <c r="F525">
        <v>98.79</v>
      </c>
      <c r="G525" s="2">
        <v>38498.822847222225</v>
      </c>
      <c r="I525">
        <v>517</v>
      </c>
      <c r="J525">
        <v>455</v>
      </c>
      <c r="K525" t="s">
        <v>896</v>
      </c>
      <c r="L525" t="s">
        <v>897</v>
      </c>
      <c r="M525">
        <v>24</v>
      </c>
      <c r="N525">
        <v>87.76</v>
      </c>
      <c r="O525" s="2">
        <v>38498.822847222225</v>
      </c>
    </row>
    <row r="526" spans="1:15" x14ac:dyDescent="0.25">
      <c r="A526">
        <v>518</v>
      </c>
      <c r="B526">
        <v>505</v>
      </c>
      <c r="C526" t="s">
        <v>1108</v>
      </c>
      <c r="D526" t="s">
        <v>1109</v>
      </c>
      <c r="E526">
        <v>21</v>
      </c>
      <c r="F526">
        <v>97.79</v>
      </c>
      <c r="G526" s="2">
        <v>38498.065601851849</v>
      </c>
      <c r="I526">
        <v>518</v>
      </c>
      <c r="J526">
        <v>195</v>
      </c>
      <c r="K526" t="s">
        <v>1147</v>
      </c>
      <c r="L526" t="s">
        <v>1148</v>
      </c>
      <c r="M526">
        <v>19</v>
      </c>
      <c r="N526">
        <v>86.81</v>
      </c>
      <c r="O526" s="2">
        <v>38498.065601851849</v>
      </c>
    </row>
    <row r="527" spans="1:15" x14ac:dyDescent="0.25">
      <c r="A527">
        <v>519</v>
      </c>
      <c r="B527">
        <v>238</v>
      </c>
      <c r="C527" t="s">
        <v>1087</v>
      </c>
      <c r="D527" t="s">
        <v>1088</v>
      </c>
      <c r="E527">
        <v>21</v>
      </c>
      <c r="F527">
        <v>94.79</v>
      </c>
      <c r="G527" s="2">
        <v>38498.967303240737</v>
      </c>
      <c r="I527">
        <v>519</v>
      </c>
      <c r="J527">
        <v>478</v>
      </c>
      <c r="K527" t="s">
        <v>350</v>
      </c>
      <c r="L527" t="s">
        <v>1157</v>
      </c>
      <c r="M527">
        <v>19</v>
      </c>
      <c r="N527">
        <v>86.81</v>
      </c>
      <c r="O527" s="2">
        <v>38498.967303240737</v>
      </c>
    </row>
    <row r="528" spans="1:15" x14ac:dyDescent="0.25">
      <c r="A528">
        <v>520</v>
      </c>
      <c r="B528">
        <v>174</v>
      </c>
      <c r="C528" t="s">
        <v>1081</v>
      </c>
      <c r="D528" t="s">
        <v>1082</v>
      </c>
      <c r="E528">
        <v>21</v>
      </c>
      <c r="F528">
        <v>92.79</v>
      </c>
      <c r="G528" s="2">
        <v>38497.217002314814</v>
      </c>
      <c r="I528">
        <v>520</v>
      </c>
      <c r="J528">
        <v>165</v>
      </c>
      <c r="K528" t="s">
        <v>1079</v>
      </c>
      <c r="L528" t="s">
        <v>1080</v>
      </c>
      <c r="M528">
        <v>21</v>
      </c>
      <c r="N528">
        <v>86.79</v>
      </c>
      <c r="O528" s="2">
        <v>38497.217002314814</v>
      </c>
    </row>
    <row r="529" spans="1:15" x14ac:dyDescent="0.25">
      <c r="A529">
        <v>521</v>
      </c>
      <c r="B529">
        <v>301</v>
      </c>
      <c r="C529" t="s">
        <v>627</v>
      </c>
      <c r="D529" t="s">
        <v>1089</v>
      </c>
      <c r="E529">
        <v>21</v>
      </c>
      <c r="F529">
        <v>92.79</v>
      </c>
      <c r="G529" s="2">
        <v>38497.154050925928</v>
      </c>
      <c r="I529">
        <v>521</v>
      </c>
      <c r="J529">
        <v>283</v>
      </c>
      <c r="K529" t="s">
        <v>540</v>
      </c>
      <c r="L529" t="s">
        <v>541</v>
      </c>
      <c r="M529">
        <v>28</v>
      </c>
      <c r="N529">
        <v>86.72</v>
      </c>
      <c r="O529" s="2">
        <v>38497.154050925928</v>
      </c>
    </row>
    <row r="530" spans="1:15" x14ac:dyDescent="0.25">
      <c r="A530">
        <v>522</v>
      </c>
      <c r="B530">
        <v>33</v>
      </c>
      <c r="C530" t="s">
        <v>1068</v>
      </c>
      <c r="D530" t="s">
        <v>1069</v>
      </c>
      <c r="E530">
        <v>21</v>
      </c>
      <c r="F530">
        <v>91.79</v>
      </c>
      <c r="G530" s="2">
        <v>38498.103194444448</v>
      </c>
      <c r="I530">
        <v>522</v>
      </c>
      <c r="J530">
        <v>567</v>
      </c>
      <c r="K530" t="s">
        <v>1143</v>
      </c>
      <c r="L530" t="s">
        <v>1144</v>
      </c>
      <c r="M530">
        <v>20</v>
      </c>
      <c r="N530">
        <v>85.8</v>
      </c>
      <c r="O530" s="2">
        <v>38498.103194444448</v>
      </c>
    </row>
    <row r="531" spans="1:15" x14ac:dyDescent="0.25">
      <c r="A531">
        <v>523</v>
      </c>
      <c r="B531">
        <v>222</v>
      </c>
      <c r="C531" t="s">
        <v>1083</v>
      </c>
      <c r="D531" t="s">
        <v>1084</v>
      </c>
      <c r="E531">
        <v>21</v>
      </c>
      <c r="F531">
        <v>91.79</v>
      </c>
      <c r="G531" s="2">
        <v>38496.962048611109</v>
      </c>
      <c r="I531">
        <v>523</v>
      </c>
      <c r="J531">
        <v>412</v>
      </c>
      <c r="K531" t="s">
        <v>304</v>
      </c>
      <c r="L531" t="s">
        <v>1096</v>
      </c>
      <c r="M531">
        <v>21</v>
      </c>
      <c r="N531">
        <v>85.79</v>
      </c>
      <c r="O531" s="2">
        <v>38496.962048611109</v>
      </c>
    </row>
    <row r="532" spans="1:15" x14ac:dyDescent="0.25">
      <c r="A532">
        <v>524</v>
      </c>
      <c r="B532">
        <v>399</v>
      </c>
      <c r="C532" t="s">
        <v>1092</v>
      </c>
      <c r="D532" t="s">
        <v>1093</v>
      </c>
      <c r="E532">
        <v>21</v>
      </c>
      <c r="F532">
        <v>91.79</v>
      </c>
      <c r="G532" s="2">
        <v>38497.001631944448</v>
      </c>
      <c r="I532">
        <v>524</v>
      </c>
      <c r="J532">
        <v>315</v>
      </c>
      <c r="K532" t="s">
        <v>1197</v>
      </c>
      <c r="L532" t="s">
        <v>1198</v>
      </c>
      <c r="M532">
        <v>17</v>
      </c>
      <c r="N532">
        <v>84.83</v>
      </c>
      <c r="O532" s="2">
        <v>38497.001631944448</v>
      </c>
    </row>
    <row r="533" spans="1:15" x14ac:dyDescent="0.25">
      <c r="A533">
        <v>525</v>
      </c>
      <c r="B533">
        <v>552</v>
      </c>
      <c r="C533" t="s">
        <v>1112</v>
      </c>
      <c r="D533" t="s">
        <v>1113</v>
      </c>
      <c r="E533">
        <v>21</v>
      </c>
      <c r="F533">
        <v>90.79</v>
      </c>
      <c r="G533" s="2">
        <v>38498.155671296299</v>
      </c>
      <c r="I533">
        <v>525</v>
      </c>
      <c r="J533">
        <v>79</v>
      </c>
      <c r="K533" t="s">
        <v>1020</v>
      </c>
      <c r="L533" t="s">
        <v>1021</v>
      </c>
      <c r="M533">
        <v>22</v>
      </c>
      <c r="N533">
        <v>84.78</v>
      </c>
      <c r="O533" s="2">
        <v>38498.155671296299</v>
      </c>
    </row>
    <row r="534" spans="1:15" x14ac:dyDescent="0.25">
      <c r="A534">
        <v>526</v>
      </c>
      <c r="B534">
        <v>501</v>
      </c>
      <c r="C534" t="s">
        <v>1106</v>
      </c>
      <c r="D534" t="s">
        <v>1107</v>
      </c>
      <c r="E534">
        <v>21</v>
      </c>
      <c r="F534">
        <v>89.79</v>
      </c>
      <c r="G534" s="2">
        <v>38500.023738425924</v>
      </c>
      <c r="I534">
        <v>526</v>
      </c>
      <c r="J534">
        <v>394</v>
      </c>
      <c r="K534" t="s">
        <v>1039</v>
      </c>
      <c r="L534" t="s">
        <v>1040</v>
      </c>
      <c r="M534">
        <v>22</v>
      </c>
      <c r="N534">
        <v>84.78</v>
      </c>
      <c r="O534" s="2">
        <v>38500.023738425924</v>
      </c>
    </row>
    <row r="535" spans="1:15" x14ac:dyDescent="0.25">
      <c r="A535">
        <v>527</v>
      </c>
      <c r="B535">
        <v>545</v>
      </c>
      <c r="C535" t="s">
        <v>1110</v>
      </c>
      <c r="D535" t="s">
        <v>1111</v>
      </c>
      <c r="E535">
        <v>21</v>
      </c>
      <c r="F535">
        <v>89.79</v>
      </c>
      <c r="G535" s="2">
        <v>38498.588865740741</v>
      </c>
      <c r="I535">
        <v>527</v>
      </c>
      <c r="J535">
        <v>62</v>
      </c>
      <c r="K535" t="s">
        <v>925</v>
      </c>
      <c r="L535" t="s">
        <v>926</v>
      </c>
      <c r="M535">
        <v>23</v>
      </c>
      <c r="N535">
        <v>84.77</v>
      </c>
      <c r="O535" s="2">
        <v>38498.588865740741</v>
      </c>
    </row>
    <row r="536" spans="1:15" x14ac:dyDescent="0.25">
      <c r="A536">
        <v>528</v>
      </c>
      <c r="B536">
        <v>496</v>
      </c>
      <c r="C536" t="s">
        <v>1104</v>
      </c>
      <c r="D536" t="s">
        <v>1105</v>
      </c>
      <c r="E536">
        <v>21</v>
      </c>
      <c r="F536">
        <v>88.79</v>
      </c>
      <c r="G536" s="2">
        <v>38499.033043981479</v>
      </c>
      <c r="I536">
        <v>528</v>
      </c>
      <c r="J536">
        <v>185</v>
      </c>
      <c r="K536" t="s">
        <v>944</v>
      </c>
      <c r="L536" t="s">
        <v>945</v>
      </c>
      <c r="M536">
        <v>23</v>
      </c>
      <c r="N536">
        <v>84.77</v>
      </c>
      <c r="O536" s="2">
        <v>38499.033043981479</v>
      </c>
    </row>
    <row r="537" spans="1:15" x14ac:dyDescent="0.25">
      <c r="A537">
        <v>529</v>
      </c>
      <c r="B537">
        <v>88</v>
      </c>
      <c r="C537" t="s">
        <v>1070</v>
      </c>
      <c r="D537" t="s">
        <v>1071</v>
      </c>
      <c r="E537">
        <v>21</v>
      </c>
      <c r="F537">
        <v>87.79</v>
      </c>
      <c r="G537" s="2">
        <v>38497.191967592589</v>
      </c>
      <c r="I537">
        <v>529</v>
      </c>
      <c r="J537">
        <v>140</v>
      </c>
      <c r="K537" t="s">
        <v>1174</v>
      </c>
      <c r="L537" t="s">
        <v>1175</v>
      </c>
      <c r="M537">
        <v>18</v>
      </c>
      <c r="N537">
        <v>83.82</v>
      </c>
      <c r="O537" s="2">
        <v>38497.191967592589</v>
      </c>
    </row>
    <row r="538" spans="1:15" x14ac:dyDescent="0.25">
      <c r="A538">
        <v>530</v>
      </c>
      <c r="B538">
        <v>226</v>
      </c>
      <c r="C538" t="s">
        <v>1085</v>
      </c>
      <c r="D538" t="s">
        <v>1086</v>
      </c>
      <c r="E538">
        <v>21</v>
      </c>
      <c r="F538">
        <v>87.79</v>
      </c>
      <c r="G538" s="2">
        <v>38524.70752314815</v>
      </c>
      <c r="I538">
        <v>530</v>
      </c>
      <c r="J538">
        <v>599</v>
      </c>
      <c r="K538" t="s">
        <v>122</v>
      </c>
      <c r="L538" t="s">
        <v>1166</v>
      </c>
      <c r="M538">
        <v>19</v>
      </c>
      <c r="N538">
        <v>83.81</v>
      </c>
      <c r="O538" s="2">
        <v>38524.70752314815</v>
      </c>
    </row>
    <row r="539" spans="1:15" x14ac:dyDescent="0.25">
      <c r="A539">
        <v>531</v>
      </c>
      <c r="B539">
        <v>165</v>
      </c>
      <c r="C539" t="s">
        <v>1079</v>
      </c>
      <c r="D539" t="s">
        <v>1080</v>
      </c>
      <c r="E539">
        <v>21</v>
      </c>
      <c r="F539">
        <v>86.79</v>
      </c>
      <c r="G539" s="2">
        <v>38499.154768518521</v>
      </c>
      <c r="I539">
        <v>531</v>
      </c>
      <c r="J539">
        <v>152</v>
      </c>
      <c r="K539" t="s">
        <v>1075</v>
      </c>
      <c r="L539" t="s">
        <v>1076</v>
      </c>
      <c r="M539">
        <v>21</v>
      </c>
      <c r="N539">
        <v>83.79</v>
      </c>
      <c r="O539" s="2">
        <v>38499.154768518521</v>
      </c>
    </row>
    <row r="540" spans="1:15" x14ac:dyDescent="0.25">
      <c r="A540">
        <v>532</v>
      </c>
      <c r="B540">
        <v>412</v>
      </c>
      <c r="C540" t="s">
        <v>304</v>
      </c>
      <c r="D540" t="s">
        <v>1096</v>
      </c>
      <c r="E540">
        <v>21</v>
      </c>
      <c r="F540">
        <v>85.79</v>
      </c>
      <c r="G540" s="2">
        <v>38498.259791666664</v>
      </c>
      <c r="I540">
        <v>532</v>
      </c>
      <c r="J540">
        <v>556</v>
      </c>
      <c r="K540" t="s">
        <v>1114</v>
      </c>
      <c r="L540" t="s">
        <v>1115</v>
      </c>
      <c r="M540">
        <v>21</v>
      </c>
      <c r="N540">
        <v>83.79</v>
      </c>
      <c r="O540" s="2">
        <v>38498.259791666664</v>
      </c>
    </row>
    <row r="541" spans="1:15" x14ac:dyDescent="0.25">
      <c r="A541">
        <v>533</v>
      </c>
      <c r="B541">
        <v>152</v>
      </c>
      <c r="C541" t="s">
        <v>1075</v>
      </c>
      <c r="D541" t="s">
        <v>1076</v>
      </c>
      <c r="E541">
        <v>21</v>
      </c>
      <c r="F541">
        <v>83.79</v>
      </c>
      <c r="G541" s="2">
        <v>38499.283715277779</v>
      </c>
      <c r="I541">
        <v>533</v>
      </c>
      <c r="J541">
        <v>598</v>
      </c>
      <c r="K541" t="s">
        <v>98</v>
      </c>
      <c r="L541" t="s">
        <v>1065</v>
      </c>
      <c r="M541">
        <v>22</v>
      </c>
      <c r="N541">
        <v>83.78</v>
      </c>
      <c r="O541" s="2">
        <v>38499.283715277779</v>
      </c>
    </row>
    <row r="542" spans="1:15" x14ac:dyDescent="0.25">
      <c r="A542">
        <v>534</v>
      </c>
      <c r="B542">
        <v>556</v>
      </c>
      <c r="C542" t="s">
        <v>1114</v>
      </c>
      <c r="D542" t="s">
        <v>1115</v>
      </c>
      <c r="E542">
        <v>21</v>
      </c>
      <c r="F542">
        <v>83.79</v>
      </c>
      <c r="G542" s="2">
        <v>38498.229039351849</v>
      </c>
      <c r="I542">
        <v>534</v>
      </c>
      <c r="J542">
        <v>118</v>
      </c>
      <c r="K542" t="s">
        <v>952</v>
      </c>
      <c r="L542" t="s">
        <v>1074</v>
      </c>
      <c r="M542">
        <v>21</v>
      </c>
      <c r="N542">
        <v>82.79</v>
      </c>
      <c r="O542" s="2">
        <v>38498.229039351849</v>
      </c>
    </row>
    <row r="543" spans="1:15" x14ac:dyDescent="0.25">
      <c r="A543">
        <v>535</v>
      </c>
      <c r="B543">
        <v>118</v>
      </c>
      <c r="C543" t="s">
        <v>952</v>
      </c>
      <c r="D543" t="s">
        <v>1074</v>
      </c>
      <c r="E543">
        <v>21</v>
      </c>
      <c r="F543">
        <v>82.79</v>
      </c>
      <c r="G543" s="2">
        <v>38499.235451388886</v>
      </c>
      <c r="I543">
        <v>535</v>
      </c>
      <c r="J543">
        <v>543</v>
      </c>
      <c r="K543" t="s">
        <v>1057</v>
      </c>
      <c r="L543" t="s">
        <v>1058</v>
      </c>
      <c r="M543">
        <v>22</v>
      </c>
      <c r="N543">
        <v>82.78</v>
      </c>
      <c r="O543" s="2">
        <v>38499.235451388886</v>
      </c>
    </row>
    <row r="544" spans="1:15" x14ac:dyDescent="0.25">
      <c r="A544">
        <v>536</v>
      </c>
      <c r="B544">
        <v>358</v>
      </c>
      <c r="C544" t="s">
        <v>1090</v>
      </c>
      <c r="D544" t="s">
        <v>1091</v>
      </c>
      <c r="E544">
        <v>21</v>
      </c>
      <c r="F544">
        <v>80.790000000000006</v>
      </c>
      <c r="G544" s="2">
        <v>38502.090648148151</v>
      </c>
      <c r="I544">
        <v>536</v>
      </c>
      <c r="J544">
        <v>243</v>
      </c>
      <c r="K544" t="s">
        <v>883</v>
      </c>
      <c r="L544" t="s">
        <v>884</v>
      </c>
      <c r="M544">
        <v>24</v>
      </c>
      <c r="N544">
        <v>82.76</v>
      </c>
      <c r="O544" s="2">
        <v>38502.090648148151</v>
      </c>
    </row>
    <row r="545" spans="1:15" x14ac:dyDescent="0.25">
      <c r="A545">
        <v>537</v>
      </c>
      <c r="B545">
        <v>94</v>
      </c>
      <c r="C545" t="s">
        <v>1072</v>
      </c>
      <c r="D545" t="s">
        <v>1073</v>
      </c>
      <c r="E545">
        <v>21</v>
      </c>
      <c r="F545">
        <v>79.790000000000006</v>
      </c>
      <c r="G545" s="2">
        <v>38497.882407407407</v>
      </c>
      <c r="I545">
        <v>537</v>
      </c>
      <c r="J545">
        <v>4</v>
      </c>
      <c r="K545" t="s">
        <v>1007</v>
      </c>
      <c r="L545" t="s">
        <v>1008</v>
      </c>
      <c r="M545">
        <v>22</v>
      </c>
      <c r="N545">
        <v>81.78</v>
      </c>
      <c r="O545" s="2">
        <v>38497.882407407407</v>
      </c>
    </row>
    <row r="546" spans="1:15" x14ac:dyDescent="0.25">
      <c r="A546">
        <v>538</v>
      </c>
      <c r="B546">
        <v>420</v>
      </c>
      <c r="C546" t="s">
        <v>1099</v>
      </c>
      <c r="D546" t="s">
        <v>1057</v>
      </c>
      <c r="E546">
        <v>21</v>
      </c>
      <c r="F546">
        <v>79.790000000000006</v>
      </c>
      <c r="G546" s="2">
        <v>38501.384120370371</v>
      </c>
      <c r="I546">
        <v>538</v>
      </c>
      <c r="J546">
        <v>527</v>
      </c>
      <c r="K546" t="s">
        <v>904</v>
      </c>
      <c r="L546" t="s">
        <v>905</v>
      </c>
      <c r="M546">
        <v>24</v>
      </c>
      <c r="N546">
        <v>81.760000000000005</v>
      </c>
      <c r="O546" s="2">
        <v>38501.384120370371</v>
      </c>
    </row>
    <row r="547" spans="1:15" x14ac:dyDescent="0.25">
      <c r="A547">
        <v>539</v>
      </c>
      <c r="B547">
        <v>413</v>
      </c>
      <c r="C547" t="s">
        <v>1097</v>
      </c>
      <c r="D547" t="s">
        <v>1098</v>
      </c>
      <c r="E547">
        <v>21</v>
      </c>
      <c r="F547">
        <v>75.790000000000006</v>
      </c>
      <c r="G547" s="2">
        <v>38497.214629629627</v>
      </c>
      <c r="I547">
        <v>539</v>
      </c>
      <c r="J547">
        <v>223</v>
      </c>
      <c r="K547" t="s">
        <v>1195</v>
      </c>
      <c r="L547" t="s">
        <v>1196</v>
      </c>
      <c r="M547">
        <v>17</v>
      </c>
      <c r="N547">
        <v>80.83</v>
      </c>
      <c r="O547" s="2">
        <v>38497.214629629627</v>
      </c>
    </row>
    <row r="548" spans="1:15" x14ac:dyDescent="0.25">
      <c r="A548">
        <v>540</v>
      </c>
      <c r="B548">
        <v>401</v>
      </c>
      <c r="C548" t="s">
        <v>1094</v>
      </c>
      <c r="D548" t="s">
        <v>1095</v>
      </c>
      <c r="E548">
        <v>21</v>
      </c>
      <c r="F548">
        <v>73.790000000000006</v>
      </c>
      <c r="G548" s="2">
        <v>38498.118414351855</v>
      </c>
      <c r="I548">
        <v>540</v>
      </c>
      <c r="J548">
        <v>70</v>
      </c>
      <c r="K548" t="s">
        <v>1167</v>
      </c>
      <c r="L548" t="s">
        <v>1168</v>
      </c>
      <c r="M548">
        <v>18</v>
      </c>
      <c r="N548">
        <v>80.819999999999993</v>
      </c>
      <c r="O548" s="2">
        <v>38498.118414351855</v>
      </c>
    </row>
    <row r="549" spans="1:15" x14ac:dyDescent="0.25">
      <c r="A549">
        <v>541</v>
      </c>
      <c r="B549">
        <v>159</v>
      </c>
      <c r="C549" t="s">
        <v>1077</v>
      </c>
      <c r="D549" t="s">
        <v>1078</v>
      </c>
      <c r="E549">
        <v>21</v>
      </c>
      <c r="F549">
        <v>68.790000000000006</v>
      </c>
      <c r="G549" s="2">
        <v>38499.928078703706</v>
      </c>
      <c r="I549">
        <v>541</v>
      </c>
      <c r="J549">
        <v>205</v>
      </c>
      <c r="K549" t="s">
        <v>1178</v>
      </c>
      <c r="L549" t="s">
        <v>1179</v>
      </c>
      <c r="M549">
        <v>18</v>
      </c>
      <c r="N549">
        <v>80.819999999999993</v>
      </c>
      <c r="O549" s="2">
        <v>38499.928078703706</v>
      </c>
    </row>
    <row r="550" spans="1:15" x14ac:dyDescent="0.25">
      <c r="A550">
        <v>542</v>
      </c>
      <c r="B550">
        <v>568</v>
      </c>
      <c r="C550" t="s">
        <v>1116</v>
      </c>
      <c r="D550" t="s">
        <v>1117</v>
      </c>
      <c r="E550">
        <v>21</v>
      </c>
      <c r="F550">
        <v>66.790000000000006</v>
      </c>
      <c r="G550" s="2">
        <v>38519.421643518515</v>
      </c>
      <c r="I550">
        <v>542</v>
      </c>
      <c r="J550">
        <v>358</v>
      </c>
      <c r="K550" t="s">
        <v>1090</v>
      </c>
      <c r="L550" t="s">
        <v>1091</v>
      </c>
      <c r="M550">
        <v>21</v>
      </c>
      <c r="N550">
        <v>80.790000000000006</v>
      </c>
      <c r="O550" s="2">
        <v>38519.421643518515</v>
      </c>
    </row>
    <row r="551" spans="1:15" x14ac:dyDescent="0.25">
      <c r="A551">
        <v>543</v>
      </c>
      <c r="B551">
        <v>429</v>
      </c>
      <c r="C551" t="s">
        <v>1100</v>
      </c>
      <c r="D551" t="s">
        <v>1101</v>
      </c>
      <c r="E551">
        <v>21</v>
      </c>
      <c r="F551">
        <v>105.79</v>
      </c>
      <c r="G551" s="2">
        <v>38498.019895833335</v>
      </c>
      <c r="I551">
        <v>543</v>
      </c>
      <c r="J551">
        <v>521</v>
      </c>
      <c r="K551" t="s">
        <v>1000</v>
      </c>
      <c r="L551" t="s">
        <v>1001</v>
      </c>
      <c r="M551">
        <v>23</v>
      </c>
      <c r="N551">
        <v>80.77</v>
      </c>
      <c r="O551" s="2">
        <v>38498.019895833335</v>
      </c>
    </row>
    <row r="552" spans="1:15" x14ac:dyDescent="0.25">
      <c r="A552">
        <v>544</v>
      </c>
      <c r="B552">
        <v>449</v>
      </c>
      <c r="C552" t="s">
        <v>1138</v>
      </c>
      <c r="D552" t="s">
        <v>1139</v>
      </c>
      <c r="E552">
        <v>20</v>
      </c>
      <c r="F552">
        <v>99.8</v>
      </c>
      <c r="G552" s="2">
        <v>38498.658101851855</v>
      </c>
      <c r="I552">
        <v>544</v>
      </c>
      <c r="J552">
        <v>288</v>
      </c>
      <c r="K552" t="s">
        <v>887</v>
      </c>
      <c r="L552" t="s">
        <v>404</v>
      </c>
      <c r="M552">
        <v>24</v>
      </c>
      <c r="N552">
        <v>80.760000000000005</v>
      </c>
      <c r="O552" s="2">
        <v>38498.658101851855</v>
      </c>
    </row>
    <row r="553" spans="1:15" x14ac:dyDescent="0.25">
      <c r="A553">
        <v>545</v>
      </c>
      <c r="B553">
        <v>272</v>
      </c>
      <c r="C553" t="s">
        <v>1127</v>
      </c>
      <c r="D553" t="s">
        <v>1128</v>
      </c>
      <c r="E553">
        <v>20</v>
      </c>
      <c r="F553">
        <v>98.8</v>
      </c>
      <c r="G553" s="2">
        <v>38497.179756944446</v>
      </c>
      <c r="I553">
        <v>545</v>
      </c>
      <c r="J553">
        <v>411</v>
      </c>
      <c r="K553" t="s">
        <v>725</v>
      </c>
      <c r="L553" t="s">
        <v>726</v>
      </c>
      <c r="M553">
        <v>26</v>
      </c>
      <c r="N553">
        <v>80.739999999999995</v>
      </c>
      <c r="O553" s="2">
        <v>38497.179756944446</v>
      </c>
    </row>
    <row r="554" spans="1:15" x14ac:dyDescent="0.25">
      <c r="A554">
        <v>546</v>
      </c>
      <c r="B554">
        <v>310</v>
      </c>
      <c r="C554" t="s">
        <v>1129</v>
      </c>
      <c r="D554" t="s">
        <v>1130</v>
      </c>
      <c r="E554">
        <v>20</v>
      </c>
      <c r="F554">
        <v>97.8</v>
      </c>
      <c r="G554" s="2">
        <v>38497.740659722222</v>
      </c>
      <c r="I554">
        <v>546</v>
      </c>
      <c r="J554">
        <v>548</v>
      </c>
      <c r="K554" t="s">
        <v>1162</v>
      </c>
      <c r="L554" t="s">
        <v>1163</v>
      </c>
      <c r="M554">
        <v>19</v>
      </c>
      <c r="N554">
        <v>79.81</v>
      </c>
      <c r="O554" s="2">
        <v>38497.740659722222</v>
      </c>
    </row>
    <row r="555" spans="1:15" x14ac:dyDescent="0.25">
      <c r="A555">
        <v>547</v>
      </c>
      <c r="B555">
        <v>212</v>
      </c>
      <c r="C555" t="s">
        <v>1123</v>
      </c>
      <c r="D555" t="s">
        <v>1124</v>
      </c>
      <c r="E555">
        <v>20</v>
      </c>
      <c r="F555">
        <v>91.8</v>
      </c>
      <c r="G555" s="2">
        <v>38518.553483796299</v>
      </c>
      <c r="I555">
        <v>547</v>
      </c>
      <c r="J555">
        <v>402</v>
      </c>
      <c r="K555" t="s">
        <v>1134</v>
      </c>
      <c r="L555" t="s">
        <v>1135</v>
      </c>
      <c r="M555">
        <v>20</v>
      </c>
      <c r="N555">
        <v>79.8</v>
      </c>
      <c r="O555" s="2">
        <v>38518.553483796299</v>
      </c>
    </row>
    <row r="556" spans="1:15" x14ac:dyDescent="0.25">
      <c r="A556">
        <v>548</v>
      </c>
      <c r="B556">
        <v>203</v>
      </c>
      <c r="C556" t="s">
        <v>1122</v>
      </c>
      <c r="D556" t="s">
        <v>400</v>
      </c>
      <c r="E556">
        <v>20</v>
      </c>
      <c r="F556">
        <v>88.8</v>
      </c>
      <c r="G556" s="2">
        <v>38498.965057870373</v>
      </c>
      <c r="I556">
        <v>548</v>
      </c>
      <c r="J556">
        <v>94</v>
      </c>
      <c r="K556" t="s">
        <v>1072</v>
      </c>
      <c r="L556" t="s">
        <v>1073</v>
      </c>
      <c r="M556">
        <v>21</v>
      </c>
      <c r="N556">
        <v>79.790000000000006</v>
      </c>
      <c r="O556" s="2">
        <v>38498.965057870373</v>
      </c>
    </row>
    <row r="557" spans="1:15" x14ac:dyDescent="0.25">
      <c r="A557">
        <v>549</v>
      </c>
      <c r="B557">
        <v>567</v>
      </c>
      <c r="C557" t="s">
        <v>1143</v>
      </c>
      <c r="D557" t="s">
        <v>1144</v>
      </c>
      <c r="E557">
        <v>20</v>
      </c>
      <c r="F557">
        <v>85.8</v>
      </c>
      <c r="G557" s="2">
        <v>38522.540891203702</v>
      </c>
      <c r="I557">
        <v>549</v>
      </c>
      <c r="J557">
        <v>420</v>
      </c>
      <c r="K557" t="s">
        <v>1099</v>
      </c>
      <c r="L557" t="s">
        <v>1057</v>
      </c>
      <c r="M557">
        <v>21</v>
      </c>
      <c r="N557">
        <v>79.790000000000006</v>
      </c>
      <c r="O557" s="2">
        <v>38522.540891203702</v>
      </c>
    </row>
    <row r="558" spans="1:15" x14ac:dyDescent="0.25">
      <c r="A558">
        <v>550</v>
      </c>
      <c r="B558">
        <v>402</v>
      </c>
      <c r="C558" t="s">
        <v>1134</v>
      </c>
      <c r="D558" t="s">
        <v>1135</v>
      </c>
      <c r="E558">
        <v>20</v>
      </c>
      <c r="F558">
        <v>79.8</v>
      </c>
      <c r="G558" s="2">
        <v>38501.733217592591</v>
      </c>
      <c r="I558">
        <v>550</v>
      </c>
      <c r="J558">
        <v>430</v>
      </c>
      <c r="K558" t="s">
        <v>449</v>
      </c>
      <c r="L558" t="s">
        <v>1041</v>
      </c>
      <c r="M558">
        <v>22</v>
      </c>
      <c r="N558">
        <v>79.78</v>
      </c>
      <c r="O558" s="2">
        <v>38501.733217592591</v>
      </c>
    </row>
    <row r="559" spans="1:15" x14ac:dyDescent="0.25">
      <c r="A559">
        <v>551</v>
      </c>
      <c r="B559">
        <v>428</v>
      </c>
      <c r="C559" t="s">
        <v>1136</v>
      </c>
      <c r="D559" t="s">
        <v>1137</v>
      </c>
      <c r="E559">
        <v>20</v>
      </c>
      <c r="F559">
        <v>78.8</v>
      </c>
      <c r="G559" s="2">
        <v>38500.736516203702</v>
      </c>
      <c r="I559">
        <v>551</v>
      </c>
      <c r="J559">
        <v>398</v>
      </c>
      <c r="K559" t="s">
        <v>1205</v>
      </c>
      <c r="L559" t="s">
        <v>1206</v>
      </c>
      <c r="M559">
        <v>16</v>
      </c>
      <c r="N559">
        <v>78.84</v>
      </c>
      <c r="O559" s="2">
        <v>38500.736516203702</v>
      </c>
    </row>
    <row r="560" spans="1:15" x14ac:dyDescent="0.25">
      <c r="A560">
        <v>552</v>
      </c>
      <c r="B560">
        <v>549</v>
      </c>
      <c r="C560" t="s">
        <v>437</v>
      </c>
      <c r="D560" t="s">
        <v>1142</v>
      </c>
      <c r="E560">
        <v>20</v>
      </c>
      <c r="F560">
        <v>77.8</v>
      </c>
      <c r="G560" s="2">
        <v>38496.963969907411</v>
      </c>
      <c r="I560">
        <v>552</v>
      </c>
      <c r="J560">
        <v>428</v>
      </c>
      <c r="K560" t="s">
        <v>1136</v>
      </c>
      <c r="L560" t="s">
        <v>1137</v>
      </c>
      <c r="M560">
        <v>20</v>
      </c>
      <c r="N560">
        <v>78.8</v>
      </c>
      <c r="O560" s="2">
        <v>38496.963969907411</v>
      </c>
    </row>
    <row r="561" spans="1:15" x14ac:dyDescent="0.25">
      <c r="A561">
        <v>553</v>
      </c>
      <c r="B561">
        <v>191</v>
      </c>
      <c r="C561" t="s">
        <v>1120</v>
      </c>
      <c r="D561" t="s">
        <v>1121</v>
      </c>
      <c r="E561">
        <v>20</v>
      </c>
      <c r="F561">
        <v>74.8</v>
      </c>
      <c r="G561" s="2">
        <v>38503.801562499997</v>
      </c>
      <c r="I561">
        <v>553</v>
      </c>
      <c r="J561">
        <v>335</v>
      </c>
      <c r="K561" t="s">
        <v>543</v>
      </c>
      <c r="L561" t="s">
        <v>965</v>
      </c>
      <c r="M561">
        <v>23</v>
      </c>
      <c r="N561">
        <v>78.77</v>
      </c>
      <c r="O561" s="2">
        <v>38503.801562499997</v>
      </c>
    </row>
    <row r="562" spans="1:15" x14ac:dyDescent="0.25">
      <c r="A562">
        <v>554</v>
      </c>
      <c r="B562">
        <v>250</v>
      </c>
      <c r="C562" t="s">
        <v>1125</v>
      </c>
      <c r="D562" t="s">
        <v>1126</v>
      </c>
      <c r="E562">
        <v>20</v>
      </c>
      <c r="F562">
        <v>73.8</v>
      </c>
      <c r="G562" s="2">
        <v>38497.376354166663</v>
      </c>
      <c r="I562">
        <v>554</v>
      </c>
      <c r="J562">
        <v>95</v>
      </c>
      <c r="K562" t="s">
        <v>1169</v>
      </c>
      <c r="L562" t="s">
        <v>1170</v>
      </c>
      <c r="M562">
        <v>18</v>
      </c>
      <c r="N562">
        <v>77.819999999999993</v>
      </c>
      <c r="O562" s="2">
        <v>38497.376354166663</v>
      </c>
    </row>
    <row r="563" spans="1:15" x14ac:dyDescent="0.25">
      <c r="A563">
        <v>555</v>
      </c>
      <c r="B563">
        <v>355</v>
      </c>
      <c r="C563" t="s">
        <v>452</v>
      </c>
      <c r="D563" t="s">
        <v>1133</v>
      </c>
      <c r="E563">
        <v>20</v>
      </c>
      <c r="F563">
        <v>72.8</v>
      </c>
      <c r="G563" s="2">
        <v>38503.640868055554</v>
      </c>
      <c r="I563">
        <v>555</v>
      </c>
      <c r="J563">
        <v>549</v>
      </c>
      <c r="K563" t="s">
        <v>437</v>
      </c>
      <c r="L563" t="s">
        <v>1142</v>
      </c>
      <c r="M563">
        <v>20</v>
      </c>
      <c r="N563">
        <v>77.8</v>
      </c>
      <c r="O563" s="2">
        <v>38503.640868055554</v>
      </c>
    </row>
    <row r="564" spans="1:15" x14ac:dyDescent="0.25">
      <c r="A564">
        <v>556</v>
      </c>
      <c r="B564">
        <v>162</v>
      </c>
      <c r="C564" t="s">
        <v>1118</v>
      </c>
      <c r="D564" t="s">
        <v>1119</v>
      </c>
      <c r="E564">
        <v>20</v>
      </c>
      <c r="F564">
        <v>71.8</v>
      </c>
      <c r="G564" s="2">
        <v>38498.820601851854</v>
      </c>
      <c r="I564">
        <v>556</v>
      </c>
      <c r="J564">
        <v>76</v>
      </c>
      <c r="K564" t="s">
        <v>927</v>
      </c>
      <c r="L564" t="s">
        <v>928</v>
      </c>
      <c r="M564">
        <v>23</v>
      </c>
      <c r="N564">
        <v>77.77</v>
      </c>
      <c r="O564" s="2">
        <v>38498.820601851854</v>
      </c>
    </row>
    <row r="565" spans="1:15" x14ac:dyDescent="0.25">
      <c r="A565">
        <v>557</v>
      </c>
      <c r="B565">
        <v>320</v>
      </c>
      <c r="C565" t="s">
        <v>1131</v>
      </c>
      <c r="D565" t="s">
        <v>1132</v>
      </c>
      <c r="E565">
        <v>20</v>
      </c>
      <c r="F565">
        <v>71.8</v>
      </c>
      <c r="G565" s="2">
        <v>38518.264930555553</v>
      </c>
      <c r="I565">
        <v>557</v>
      </c>
      <c r="J565">
        <v>48</v>
      </c>
      <c r="K565" t="s">
        <v>1193</v>
      </c>
      <c r="L565" t="s">
        <v>1194</v>
      </c>
      <c r="M565">
        <v>17</v>
      </c>
      <c r="N565">
        <v>76.83</v>
      </c>
      <c r="O565" s="2">
        <v>38518.264930555553</v>
      </c>
    </row>
    <row r="566" spans="1:15" x14ac:dyDescent="0.25">
      <c r="A566">
        <v>558</v>
      </c>
      <c r="B566">
        <v>509</v>
      </c>
      <c r="C566" t="s">
        <v>1140</v>
      </c>
      <c r="D566" t="s">
        <v>1141</v>
      </c>
      <c r="E566">
        <v>20</v>
      </c>
      <c r="F566">
        <v>100.8</v>
      </c>
      <c r="G566" s="2">
        <v>38497.09679398148</v>
      </c>
      <c r="I566">
        <v>558</v>
      </c>
      <c r="J566">
        <v>224</v>
      </c>
      <c r="K566" t="s">
        <v>1028</v>
      </c>
      <c r="L566" t="s">
        <v>1029</v>
      </c>
      <c r="M566">
        <v>22</v>
      </c>
      <c r="N566">
        <v>76.78</v>
      </c>
      <c r="O566" s="2">
        <v>38497.09679398148</v>
      </c>
    </row>
    <row r="567" spans="1:15" x14ac:dyDescent="0.25">
      <c r="A567">
        <v>559</v>
      </c>
      <c r="B567">
        <v>524</v>
      </c>
      <c r="C567" t="s">
        <v>1158</v>
      </c>
      <c r="D567" t="s">
        <v>1159</v>
      </c>
      <c r="E567">
        <v>19</v>
      </c>
      <c r="F567">
        <v>87.81</v>
      </c>
      <c r="G567" s="2">
        <v>38497.813402777778</v>
      </c>
      <c r="I567">
        <v>559</v>
      </c>
      <c r="J567">
        <v>183</v>
      </c>
      <c r="K567" t="s">
        <v>940</v>
      </c>
      <c r="L567" t="s">
        <v>941</v>
      </c>
      <c r="M567">
        <v>23</v>
      </c>
      <c r="N567">
        <v>76.77</v>
      </c>
      <c r="O567" s="2">
        <v>38497.813402777778</v>
      </c>
    </row>
    <row r="568" spans="1:15" x14ac:dyDescent="0.25">
      <c r="A568">
        <v>560</v>
      </c>
      <c r="B568">
        <v>195</v>
      </c>
      <c r="C568" t="s">
        <v>1147</v>
      </c>
      <c r="D568" t="s">
        <v>1148</v>
      </c>
      <c r="E568">
        <v>19</v>
      </c>
      <c r="F568">
        <v>86.81</v>
      </c>
      <c r="G568" s="2">
        <v>38540.542766203704</v>
      </c>
      <c r="I568">
        <v>560</v>
      </c>
      <c r="J568">
        <v>530</v>
      </c>
      <c r="K568" t="s">
        <v>1002</v>
      </c>
      <c r="L568" t="s">
        <v>1003</v>
      </c>
      <c r="M568">
        <v>23</v>
      </c>
      <c r="N568">
        <v>76.77</v>
      </c>
      <c r="O568" s="2">
        <v>38540.542766203704</v>
      </c>
    </row>
    <row r="569" spans="1:15" x14ac:dyDescent="0.25">
      <c r="A569">
        <v>561</v>
      </c>
      <c r="B569">
        <v>478</v>
      </c>
      <c r="C569" t="s">
        <v>350</v>
      </c>
      <c r="D569" t="s">
        <v>1157</v>
      </c>
      <c r="E569">
        <v>19</v>
      </c>
      <c r="F569">
        <v>86.81</v>
      </c>
      <c r="G569" s="2">
        <v>38519.589398148149</v>
      </c>
      <c r="I569">
        <v>561</v>
      </c>
      <c r="J569">
        <v>413</v>
      </c>
      <c r="K569" t="s">
        <v>1097</v>
      </c>
      <c r="L569" t="s">
        <v>1098</v>
      </c>
      <c r="M569">
        <v>21</v>
      </c>
      <c r="N569">
        <v>75.790000000000006</v>
      </c>
      <c r="O569" s="2">
        <v>38519.589398148149</v>
      </c>
    </row>
    <row r="570" spans="1:15" x14ac:dyDescent="0.25">
      <c r="A570">
        <v>562</v>
      </c>
      <c r="B570">
        <v>599</v>
      </c>
      <c r="C570" t="s">
        <v>122</v>
      </c>
      <c r="D570" t="s">
        <v>1166</v>
      </c>
      <c r="E570">
        <v>19</v>
      </c>
      <c r="F570">
        <v>83.81</v>
      </c>
      <c r="G570" s="2">
        <v>38503.054814814815</v>
      </c>
      <c r="I570">
        <v>562</v>
      </c>
      <c r="J570">
        <v>555</v>
      </c>
      <c r="K570" t="s">
        <v>1201</v>
      </c>
      <c r="L570" t="s">
        <v>1202</v>
      </c>
      <c r="M570">
        <v>17</v>
      </c>
      <c r="N570">
        <v>74.83</v>
      </c>
      <c r="O570" s="2">
        <v>38503.054814814815</v>
      </c>
    </row>
    <row r="571" spans="1:15" x14ac:dyDescent="0.25">
      <c r="A571">
        <v>563</v>
      </c>
      <c r="B571">
        <v>548</v>
      </c>
      <c r="C571" t="s">
        <v>1162</v>
      </c>
      <c r="D571" t="s">
        <v>1163</v>
      </c>
      <c r="E571">
        <v>19</v>
      </c>
      <c r="F571">
        <v>79.81</v>
      </c>
      <c r="G571" s="2">
        <v>38498.176724537036</v>
      </c>
      <c r="I571">
        <v>563</v>
      </c>
      <c r="J571">
        <v>525</v>
      </c>
      <c r="K571" t="s">
        <v>1160</v>
      </c>
      <c r="L571" t="s">
        <v>1161</v>
      </c>
      <c r="M571">
        <v>19</v>
      </c>
      <c r="N571">
        <v>74.81</v>
      </c>
      <c r="O571" s="2">
        <v>38498.176724537036</v>
      </c>
    </row>
    <row r="572" spans="1:15" x14ac:dyDescent="0.25">
      <c r="A572">
        <v>564</v>
      </c>
      <c r="B572">
        <v>525</v>
      </c>
      <c r="C572" t="s">
        <v>1160</v>
      </c>
      <c r="D572" t="s">
        <v>1161</v>
      </c>
      <c r="E572">
        <v>19</v>
      </c>
      <c r="F572">
        <v>74.81</v>
      </c>
      <c r="G572" s="2">
        <v>38499.741226851853</v>
      </c>
      <c r="I572">
        <v>564</v>
      </c>
      <c r="J572">
        <v>191</v>
      </c>
      <c r="K572" t="s">
        <v>1120</v>
      </c>
      <c r="L572" t="s">
        <v>1121</v>
      </c>
      <c r="M572">
        <v>20</v>
      </c>
      <c r="N572">
        <v>74.8</v>
      </c>
      <c r="O572" s="2">
        <v>38499.741226851853</v>
      </c>
    </row>
    <row r="573" spans="1:15" x14ac:dyDescent="0.25">
      <c r="A573">
        <v>565</v>
      </c>
      <c r="B573">
        <v>117</v>
      </c>
      <c r="C573" t="s">
        <v>1145</v>
      </c>
      <c r="D573" t="s">
        <v>1146</v>
      </c>
      <c r="E573">
        <v>19</v>
      </c>
      <c r="F573">
        <v>71.81</v>
      </c>
      <c r="G573" s="2">
        <v>38501.096458333333</v>
      </c>
      <c r="I573">
        <v>565</v>
      </c>
      <c r="J573">
        <v>514</v>
      </c>
      <c r="K573" t="s">
        <v>786</v>
      </c>
      <c r="L573" t="s">
        <v>1053</v>
      </c>
      <c r="M573">
        <v>22</v>
      </c>
      <c r="N573">
        <v>74.78</v>
      </c>
      <c r="O573" s="2">
        <v>38501.096458333333</v>
      </c>
    </row>
    <row r="574" spans="1:15" x14ac:dyDescent="0.25">
      <c r="A574">
        <v>566</v>
      </c>
      <c r="B574">
        <v>378</v>
      </c>
      <c r="C574" t="s">
        <v>1151</v>
      </c>
      <c r="D574" t="s">
        <v>1152</v>
      </c>
      <c r="E574">
        <v>19</v>
      </c>
      <c r="F574">
        <v>71.81</v>
      </c>
      <c r="G574" s="2">
        <v>38499.194826388892</v>
      </c>
      <c r="I574">
        <v>566</v>
      </c>
      <c r="J574">
        <v>464</v>
      </c>
      <c r="K574" t="s">
        <v>1207</v>
      </c>
      <c r="L574" t="s">
        <v>1208</v>
      </c>
      <c r="M574">
        <v>16</v>
      </c>
      <c r="N574">
        <v>73.84</v>
      </c>
      <c r="O574" s="2">
        <v>38499.194826388892</v>
      </c>
    </row>
    <row r="575" spans="1:15" x14ac:dyDescent="0.25">
      <c r="A575">
        <v>567</v>
      </c>
      <c r="B575">
        <v>370</v>
      </c>
      <c r="C575" t="s">
        <v>1149</v>
      </c>
      <c r="D575" t="s">
        <v>1150</v>
      </c>
      <c r="E575">
        <v>19</v>
      </c>
      <c r="F575">
        <v>70.81</v>
      </c>
      <c r="G575" s="2">
        <v>38518.04550925926</v>
      </c>
      <c r="I575">
        <v>567</v>
      </c>
      <c r="J575">
        <v>124</v>
      </c>
      <c r="K575" t="s">
        <v>1172</v>
      </c>
      <c r="L575" t="s">
        <v>1173</v>
      </c>
      <c r="M575">
        <v>18</v>
      </c>
      <c r="N575">
        <v>73.819999999999993</v>
      </c>
      <c r="O575" s="2">
        <v>38518.04550925926</v>
      </c>
    </row>
    <row r="576" spans="1:15" x14ac:dyDescent="0.25">
      <c r="A576">
        <v>568</v>
      </c>
      <c r="B576">
        <v>458</v>
      </c>
      <c r="C576" t="s">
        <v>1155</v>
      </c>
      <c r="D576" t="s">
        <v>1156</v>
      </c>
      <c r="E576">
        <v>19</v>
      </c>
      <c r="F576">
        <v>66.81</v>
      </c>
      <c r="G576" s="2">
        <v>38522.362638888888</v>
      </c>
      <c r="I576">
        <v>568</v>
      </c>
      <c r="J576">
        <v>344</v>
      </c>
      <c r="K576" t="s">
        <v>602</v>
      </c>
      <c r="L576" t="s">
        <v>1186</v>
      </c>
      <c r="M576">
        <v>18</v>
      </c>
      <c r="N576">
        <v>73.819999999999993</v>
      </c>
      <c r="O576" s="2">
        <v>38522.362638888888</v>
      </c>
    </row>
    <row r="577" spans="1:15" x14ac:dyDescent="0.25">
      <c r="A577">
        <v>569</v>
      </c>
      <c r="B577">
        <v>586</v>
      </c>
      <c r="C577" t="s">
        <v>1164</v>
      </c>
      <c r="D577" t="s">
        <v>1165</v>
      </c>
      <c r="E577">
        <v>19</v>
      </c>
      <c r="F577">
        <v>64.81</v>
      </c>
      <c r="G577" s="2">
        <v>38497.950254629628</v>
      </c>
      <c r="I577">
        <v>569</v>
      </c>
      <c r="J577">
        <v>250</v>
      </c>
      <c r="K577" t="s">
        <v>1125</v>
      </c>
      <c r="L577" t="s">
        <v>1126</v>
      </c>
      <c r="M577">
        <v>20</v>
      </c>
      <c r="N577">
        <v>73.8</v>
      </c>
      <c r="O577" s="2">
        <v>38497.950254629628</v>
      </c>
    </row>
    <row r="578" spans="1:15" x14ac:dyDescent="0.25">
      <c r="A578">
        <v>570</v>
      </c>
      <c r="B578">
        <v>395</v>
      </c>
      <c r="C578" t="s">
        <v>1153</v>
      </c>
      <c r="D578" t="s">
        <v>1154</v>
      </c>
      <c r="E578">
        <v>19</v>
      </c>
      <c r="F578">
        <v>57.81</v>
      </c>
      <c r="G578" s="2">
        <v>38518.312754629631</v>
      </c>
      <c r="I578">
        <v>570</v>
      </c>
      <c r="J578">
        <v>401</v>
      </c>
      <c r="K578" t="s">
        <v>1094</v>
      </c>
      <c r="L578" t="s">
        <v>1095</v>
      </c>
      <c r="M578">
        <v>21</v>
      </c>
      <c r="N578">
        <v>73.790000000000006</v>
      </c>
      <c r="O578" s="2">
        <v>38518.312754629631</v>
      </c>
    </row>
    <row r="579" spans="1:15" x14ac:dyDescent="0.25">
      <c r="A579">
        <v>571</v>
      </c>
      <c r="B579">
        <v>542</v>
      </c>
      <c r="C579" t="s">
        <v>1191</v>
      </c>
      <c r="D579" t="s">
        <v>1192</v>
      </c>
      <c r="E579">
        <v>18</v>
      </c>
      <c r="F579">
        <v>94.82</v>
      </c>
      <c r="G579" s="2">
        <v>38498.421400462961</v>
      </c>
      <c r="I579">
        <v>571</v>
      </c>
      <c r="J579">
        <v>350</v>
      </c>
      <c r="K579" t="s">
        <v>970</v>
      </c>
      <c r="L579" t="s">
        <v>971</v>
      </c>
      <c r="M579">
        <v>23</v>
      </c>
      <c r="N579">
        <v>73.77</v>
      </c>
      <c r="O579" s="2">
        <v>38498.421400462961</v>
      </c>
    </row>
    <row r="580" spans="1:15" x14ac:dyDescent="0.25">
      <c r="A580">
        <v>572</v>
      </c>
      <c r="B580">
        <v>483</v>
      </c>
      <c r="C580" t="s">
        <v>1189</v>
      </c>
      <c r="D580" t="s">
        <v>1190</v>
      </c>
      <c r="E580">
        <v>18</v>
      </c>
      <c r="F580">
        <v>88.82</v>
      </c>
      <c r="G580" s="2">
        <v>38501.358680555553</v>
      </c>
      <c r="I580">
        <v>572</v>
      </c>
      <c r="J580">
        <v>557</v>
      </c>
      <c r="K580" t="s">
        <v>914</v>
      </c>
      <c r="L580" t="s">
        <v>915</v>
      </c>
      <c r="M580">
        <v>24</v>
      </c>
      <c r="N580">
        <v>73.760000000000005</v>
      </c>
      <c r="O580" s="2">
        <v>38501.358680555553</v>
      </c>
    </row>
    <row r="581" spans="1:15" x14ac:dyDescent="0.25">
      <c r="A581">
        <v>573</v>
      </c>
      <c r="B581">
        <v>194</v>
      </c>
      <c r="C581" t="s">
        <v>1176</v>
      </c>
      <c r="D581" t="s">
        <v>1177</v>
      </c>
      <c r="E581">
        <v>18</v>
      </c>
      <c r="F581">
        <v>87.82</v>
      </c>
      <c r="G581" s="2">
        <v>38499.127164351848</v>
      </c>
      <c r="I581">
        <v>573</v>
      </c>
      <c r="J581">
        <v>353</v>
      </c>
      <c r="K581" t="s">
        <v>1187</v>
      </c>
      <c r="L581" t="s">
        <v>1188</v>
      </c>
      <c r="M581">
        <v>18</v>
      </c>
      <c r="N581">
        <v>72.819999999999993</v>
      </c>
      <c r="O581" s="2">
        <v>38499.127164351848</v>
      </c>
    </row>
    <row r="582" spans="1:15" x14ac:dyDescent="0.25">
      <c r="A582">
        <v>574</v>
      </c>
      <c r="B582">
        <v>140</v>
      </c>
      <c r="C582" t="s">
        <v>1174</v>
      </c>
      <c r="D582" t="s">
        <v>1175</v>
      </c>
      <c r="E582">
        <v>18</v>
      </c>
      <c r="F582">
        <v>83.82</v>
      </c>
      <c r="G582" s="2">
        <v>38519.202291666668</v>
      </c>
      <c r="I582">
        <v>574</v>
      </c>
      <c r="J582">
        <v>355</v>
      </c>
      <c r="K582" t="s">
        <v>452</v>
      </c>
      <c r="L582" t="s">
        <v>1133</v>
      </c>
      <c r="M582">
        <v>20</v>
      </c>
      <c r="N582">
        <v>72.8</v>
      </c>
      <c r="O582" s="2">
        <v>38519.202291666668</v>
      </c>
    </row>
    <row r="583" spans="1:15" x14ac:dyDescent="0.25">
      <c r="A583">
        <v>575</v>
      </c>
      <c r="B583">
        <v>70</v>
      </c>
      <c r="C583" t="s">
        <v>1167</v>
      </c>
      <c r="D583" t="s">
        <v>1168</v>
      </c>
      <c r="E583">
        <v>18</v>
      </c>
      <c r="F583">
        <v>80.819999999999993</v>
      </c>
      <c r="G583" s="2">
        <v>38503.267175925925</v>
      </c>
      <c r="I583">
        <v>575</v>
      </c>
      <c r="J583">
        <v>117</v>
      </c>
      <c r="K583" t="s">
        <v>1145</v>
      </c>
      <c r="L583" t="s">
        <v>1146</v>
      </c>
      <c r="M583">
        <v>19</v>
      </c>
      <c r="N583">
        <v>71.81</v>
      </c>
      <c r="O583" s="2">
        <v>38503.267175925925</v>
      </c>
    </row>
    <row r="584" spans="1:15" x14ac:dyDescent="0.25">
      <c r="A584">
        <v>576</v>
      </c>
      <c r="B584">
        <v>205</v>
      </c>
      <c r="C584" t="s">
        <v>1178</v>
      </c>
      <c r="D584" t="s">
        <v>1179</v>
      </c>
      <c r="E584">
        <v>18</v>
      </c>
      <c r="F584">
        <v>80.819999999999993</v>
      </c>
      <c r="G584" s="2">
        <v>38518.200787037036</v>
      </c>
      <c r="I584">
        <v>576</v>
      </c>
      <c r="J584">
        <v>378</v>
      </c>
      <c r="K584" t="s">
        <v>1151</v>
      </c>
      <c r="L584" t="s">
        <v>1152</v>
      </c>
      <c r="M584">
        <v>19</v>
      </c>
      <c r="N584">
        <v>71.81</v>
      </c>
      <c r="O584" s="2">
        <v>38518.200787037036</v>
      </c>
    </row>
    <row r="585" spans="1:15" x14ac:dyDescent="0.25">
      <c r="A585">
        <v>577</v>
      </c>
      <c r="B585">
        <v>95</v>
      </c>
      <c r="C585" t="s">
        <v>1169</v>
      </c>
      <c r="D585" t="s">
        <v>1170</v>
      </c>
      <c r="E585">
        <v>18</v>
      </c>
      <c r="F585">
        <v>77.819999999999993</v>
      </c>
      <c r="G585" s="2">
        <v>38500.006898148145</v>
      </c>
      <c r="I585">
        <v>577</v>
      </c>
      <c r="J585">
        <v>162</v>
      </c>
      <c r="K585" t="s">
        <v>1118</v>
      </c>
      <c r="L585" t="s">
        <v>1119</v>
      </c>
      <c r="M585">
        <v>20</v>
      </c>
      <c r="N585">
        <v>71.8</v>
      </c>
      <c r="O585" s="2">
        <v>38500.006898148145</v>
      </c>
    </row>
    <row r="586" spans="1:15" x14ac:dyDescent="0.25">
      <c r="A586">
        <v>578</v>
      </c>
      <c r="B586">
        <v>124</v>
      </c>
      <c r="C586" t="s">
        <v>1172</v>
      </c>
      <c r="D586" t="s">
        <v>1173</v>
      </c>
      <c r="E586">
        <v>18</v>
      </c>
      <c r="F586">
        <v>73.819999999999993</v>
      </c>
      <c r="G586" s="2">
        <v>38501.557939814818</v>
      </c>
      <c r="I586">
        <v>578</v>
      </c>
      <c r="J586">
        <v>320</v>
      </c>
      <c r="K586" t="s">
        <v>1131</v>
      </c>
      <c r="L586" t="s">
        <v>1132</v>
      </c>
      <c r="M586">
        <v>20</v>
      </c>
      <c r="N586">
        <v>71.8</v>
      </c>
      <c r="O586" s="2">
        <v>38501.557939814818</v>
      </c>
    </row>
    <row r="587" spans="1:15" x14ac:dyDescent="0.25">
      <c r="A587">
        <v>579</v>
      </c>
      <c r="B587">
        <v>344</v>
      </c>
      <c r="C587" t="s">
        <v>602</v>
      </c>
      <c r="D587" t="s">
        <v>1186</v>
      </c>
      <c r="E587">
        <v>18</v>
      </c>
      <c r="F587">
        <v>73.819999999999993</v>
      </c>
      <c r="G587" s="2">
        <v>38498.059270833335</v>
      </c>
      <c r="I587">
        <v>579</v>
      </c>
      <c r="J587">
        <v>177</v>
      </c>
      <c r="K587" t="s">
        <v>936</v>
      </c>
      <c r="L587" t="s">
        <v>937</v>
      </c>
      <c r="M587">
        <v>23</v>
      </c>
      <c r="N587">
        <v>71.77</v>
      </c>
      <c r="O587" s="2">
        <v>38498.059270833335</v>
      </c>
    </row>
    <row r="588" spans="1:15" x14ac:dyDescent="0.25">
      <c r="A588">
        <v>580</v>
      </c>
      <c r="B588">
        <v>353</v>
      </c>
      <c r="C588" t="s">
        <v>1187</v>
      </c>
      <c r="D588" t="s">
        <v>1188</v>
      </c>
      <c r="E588">
        <v>18</v>
      </c>
      <c r="F588">
        <v>72.819999999999993</v>
      </c>
      <c r="G588" s="2">
        <v>38503.600208333337</v>
      </c>
      <c r="I588">
        <v>580</v>
      </c>
      <c r="J588">
        <v>255</v>
      </c>
      <c r="K588" t="s">
        <v>1182</v>
      </c>
      <c r="L588" t="s">
        <v>1183</v>
      </c>
      <c r="M588">
        <v>18</v>
      </c>
      <c r="N588">
        <v>70.819999999999993</v>
      </c>
      <c r="O588" s="2">
        <v>38503.600208333337</v>
      </c>
    </row>
    <row r="589" spans="1:15" x14ac:dyDescent="0.25">
      <c r="A589">
        <v>581</v>
      </c>
      <c r="B589">
        <v>255</v>
      </c>
      <c r="C589" t="s">
        <v>1182</v>
      </c>
      <c r="D589" t="s">
        <v>1183</v>
      </c>
      <c r="E589">
        <v>18</v>
      </c>
      <c r="F589">
        <v>70.819999999999993</v>
      </c>
      <c r="G589" s="2">
        <v>38518.188518518517</v>
      </c>
      <c r="I589">
        <v>581</v>
      </c>
      <c r="J589">
        <v>370</v>
      </c>
      <c r="K589" t="s">
        <v>1149</v>
      </c>
      <c r="L589" t="s">
        <v>1150</v>
      </c>
      <c r="M589">
        <v>19</v>
      </c>
      <c r="N589">
        <v>70.81</v>
      </c>
      <c r="O589" s="2">
        <v>38518.188518518517</v>
      </c>
    </row>
    <row r="590" spans="1:15" x14ac:dyDescent="0.25">
      <c r="A590">
        <v>582</v>
      </c>
      <c r="B590">
        <v>271</v>
      </c>
      <c r="C590" t="s">
        <v>1184</v>
      </c>
      <c r="D590" t="s">
        <v>1185</v>
      </c>
      <c r="E590">
        <v>18</v>
      </c>
      <c r="F590">
        <v>68.819999999999993</v>
      </c>
      <c r="G590" s="2">
        <v>38503.563067129631</v>
      </c>
      <c r="I590">
        <v>582</v>
      </c>
      <c r="J590">
        <v>465</v>
      </c>
      <c r="K590" t="s">
        <v>1199</v>
      </c>
      <c r="L590" t="s">
        <v>1200</v>
      </c>
      <c r="M590">
        <v>17</v>
      </c>
      <c r="N590">
        <v>69.83</v>
      </c>
      <c r="O590" s="2">
        <v>38503.563067129631</v>
      </c>
    </row>
    <row r="591" spans="1:15" x14ac:dyDescent="0.25">
      <c r="A591">
        <v>583</v>
      </c>
      <c r="B591">
        <v>218</v>
      </c>
      <c r="C591" t="s">
        <v>1180</v>
      </c>
      <c r="D591" t="s">
        <v>1181</v>
      </c>
      <c r="E591">
        <v>18</v>
      </c>
      <c r="F591">
        <v>67.819999999999993</v>
      </c>
      <c r="G591" s="2">
        <v>38518.851307870369</v>
      </c>
      <c r="I591">
        <v>583</v>
      </c>
      <c r="J591">
        <v>271</v>
      </c>
      <c r="K591" t="s">
        <v>1184</v>
      </c>
      <c r="L591" t="s">
        <v>1185</v>
      </c>
      <c r="M591">
        <v>18</v>
      </c>
      <c r="N591">
        <v>68.819999999999993</v>
      </c>
      <c r="O591" s="2">
        <v>38518.851307870369</v>
      </c>
    </row>
    <row r="592" spans="1:15" x14ac:dyDescent="0.25">
      <c r="A592">
        <v>584</v>
      </c>
      <c r="B592">
        <v>97</v>
      </c>
      <c r="C592" t="s">
        <v>1171</v>
      </c>
      <c r="D592" t="s">
        <v>106</v>
      </c>
      <c r="E592">
        <v>18</v>
      </c>
      <c r="F592">
        <v>58.82</v>
      </c>
      <c r="G592" s="2">
        <v>38520.718055555553</v>
      </c>
      <c r="I592">
        <v>584</v>
      </c>
      <c r="J592">
        <v>159</v>
      </c>
      <c r="K592" t="s">
        <v>1077</v>
      </c>
      <c r="L592" t="s">
        <v>1078</v>
      </c>
      <c r="M592">
        <v>21</v>
      </c>
      <c r="N592">
        <v>68.790000000000006</v>
      </c>
      <c r="O592" s="2">
        <v>38520.718055555553</v>
      </c>
    </row>
    <row r="593" spans="1:15" x14ac:dyDescent="0.25">
      <c r="A593">
        <v>585</v>
      </c>
      <c r="B593">
        <v>315</v>
      </c>
      <c r="C593" t="s">
        <v>1197</v>
      </c>
      <c r="D593" t="s">
        <v>1198</v>
      </c>
      <c r="E593">
        <v>17</v>
      </c>
      <c r="F593">
        <v>84.83</v>
      </c>
      <c r="G593" s="2">
        <v>38500.264525462961</v>
      </c>
      <c r="I593">
        <v>585</v>
      </c>
      <c r="J593">
        <v>218</v>
      </c>
      <c r="K593" t="s">
        <v>1180</v>
      </c>
      <c r="L593" t="s">
        <v>1181</v>
      </c>
      <c r="M593">
        <v>18</v>
      </c>
      <c r="N593">
        <v>67.819999999999993</v>
      </c>
      <c r="O593" s="2">
        <v>38500.264525462961</v>
      </c>
    </row>
    <row r="594" spans="1:15" x14ac:dyDescent="0.25">
      <c r="A594">
        <v>586</v>
      </c>
      <c r="B594">
        <v>223</v>
      </c>
      <c r="C594" t="s">
        <v>1195</v>
      </c>
      <c r="D594" t="s">
        <v>1196</v>
      </c>
      <c r="E594">
        <v>17</v>
      </c>
      <c r="F594">
        <v>80.83</v>
      </c>
      <c r="G594" s="2">
        <v>38500.164907407408</v>
      </c>
      <c r="I594">
        <v>586</v>
      </c>
      <c r="J594">
        <v>164</v>
      </c>
      <c r="K594" t="s">
        <v>1203</v>
      </c>
      <c r="L594" t="s">
        <v>1204</v>
      </c>
      <c r="M594">
        <v>16</v>
      </c>
      <c r="N594">
        <v>66.84</v>
      </c>
      <c r="O594" s="2">
        <v>38500.164907407408</v>
      </c>
    </row>
    <row r="595" spans="1:15" x14ac:dyDescent="0.25">
      <c r="A595">
        <v>587</v>
      </c>
      <c r="B595">
        <v>48</v>
      </c>
      <c r="C595" t="s">
        <v>1193</v>
      </c>
      <c r="D595" t="s">
        <v>1194</v>
      </c>
      <c r="E595">
        <v>17</v>
      </c>
      <c r="F595">
        <v>76.83</v>
      </c>
      <c r="G595" s="2">
        <v>38497.452928240738</v>
      </c>
      <c r="I595">
        <v>587</v>
      </c>
      <c r="J595">
        <v>458</v>
      </c>
      <c r="K595" t="s">
        <v>1155</v>
      </c>
      <c r="L595" t="s">
        <v>1156</v>
      </c>
      <c r="M595">
        <v>19</v>
      </c>
      <c r="N595">
        <v>66.81</v>
      </c>
      <c r="O595" s="2">
        <v>38497.452928240738</v>
      </c>
    </row>
    <row r="596" spans="1:15" x14ac:dyDescent="0.25">
      <c r="A596">
        <v>588</v>
      </c>
      <c r="B596">
        <v>555</v>
      </c>
      <c r="C596" t="s">
        <v>1201</v>
      </c>
      <c r="D596" t="s">
        <v>1202</v>
      </c>
      <c r="E596">
        <v>17</v>
      </c>
      <c r="F596">
        <v>74.83</v>
      </c>
      <c r="G596" s="2">
        <v>38524.104594907411</v>
      </c>
      <c r="I596">
        <v>588</v>
      </c>
      <c r="J596">
        <v>568</v>
      </c>
      <c r="K596" t="s">
        <v>1116</v>
      </c>
      <c r="L596" t="s">
        <v>1117</v>
      </c>
      <c r="M596">
        <v>21</v>
      </c>
      <c r="N596">
        <v>66.790000000000006</v>
      </c>
      <c r="O596" s="2">
        <v>38524.104594907411</v>
      </c>
    </row>
    <row r="597" spans="1:15" x14ac:dyDescent="0.25">
      <c r="A597">
        <v>589</v>
      </c>
      <c r="B597">
        <v>465</v>
      </c>
      <c r="C597" t="s">
        <v>1199</v>
      </c>
      <c r="D597" t="s">
        <v>1200</v>
      </c>
      <c r="E597">
        <v>17</v>
      </c>
      <c r="F597">
        <v>69.83</v>
      </c>
      <c r="G597" s="2">
        <v>38500.780162037037</v>
      </c>
      <c r="I597">
        <v>589</v>
      </c>
      <c r="J597">
        <v>492</v>
      </c>
      <c r="K597" t="s">
        <v>1209</v>
      </c>
      <c r="L597" t="s">
        <v>1210</v>
      </c>
      <c r="M597">
        <v>16</v>
      </c>
      <c r="N597">
        <v>65.84</v>
      </c>
      <c r="O597" s="2">
        <v>38500.780162037037</v>
      </c>
    </row>
    <row r="598" spans="1:15" x14ac:dyDescent="0.25">
      <c r="A598">
        <v>590</v>
      </c>
      <c r="B598">
        <v>398</v>
      </c>
      <c r="C598" t="s">
        <v>1205</v>
      </c>
      <c r="D598" t="s">
        <v>1206</v>
      </c>
      <c r="E598">
        <v>16</v>
      </c>
      <c r="F598">
        <v>78.84</v>
      </c>
      <c r="G598" s="2">
        <v>38499.993888888886</v>
      </c>
      <c r="I598">
        <v>590</v>
      </c>
      <c r="J598">
        <v>586</v>
      </c>
      <c r="K598" t="s">
        <v>1164</v>
      </c>
      <c r="L598" t="s">
        <v>1165</v>
      </c>
      <c r="M598">
        <v>19</v>
      </c>
      <c r="N598">
        <v>64.81</v>
      </c>
      <c r="O598" s="2">
        <v>38499.993888888886</v>
      </c>
    </row>
    <row r="599" spans="1:15" x14ac:dyDescent="0.25">
      <c r="A599">
        <v>591</v>
      </c>
      <c r="B599">
        <v>464</v>
      </c>
      <c r="C599" t="s">
        <v>1207</v>
      </c>
      <c r="D599" t="s">
        <v>1208</v>
      </c>
      <c r="E599">
        <v>16</v>
      </c>
      <c r="F599">
        <v>73.84</v>
      </c>
      <c r="G599" s="2">
        <v>38498.8903587963</v>
      </c>
      <c r="I599">
        <v>591</v>
      </c>
      <c r="J599">
        <v>252</v>
      </c>
      <c r="K599" t="s">
        <v>1032</v>
      </c>
      <c r="L599" t="s">
        <v>1033</v>
      </c>
      <c r="M599">
        <v>22</v>
      </c>
      <c r="N599">
        <v>64.78</v>
      </c>
      <c r="O599" s="2">
        <v>38498.8903587963</v>
      </c>
    </row>
    <row r="600" spans="1:15" x14ac:dyDescent="0.25">
      <c r="A600">
        <v>592</v>
      </c>
      <c r="B600">
        <v>164</v>
      </c>
      <c r="C600" t="s">
        <v>1203</v>
      </c>
      <c r="D600" t="s">
        <v>1204</v>
      </c>
      <c r="E600">
        <v>16</v>
      </c>
      <c r="F600">
        <v>66.84</v>
      </c>
      <c r="G600" s="2">
        <v>38503.087256944447</v>
      </c>
      <c r="I600">
        <v>592</v>
      </c>
      <c r="J600">
        <v>136</v>
      </c>
      <c r="K600" t="s">
        <v>1211</v>
      </c>
      <c r="L600" t="s">
        <v>1212</v>
      </c>
      <c r="M600">
        <v>15</v>
      </c>
      <c r="N600">
        <v>62.85</v>
      </c>
      <c r="O600" s="2">
        <v>38503.087256944447</v>
      </c>
    </row>
    <row r="601" spans="1:15" x14ac:dyDescent="0.25">
      <c r="A601">
        <v>593</v>
      </c>
      <c r="B601">
        <v>492</v>
      </c>
      <c r="C601" t="s">
        <v>1209</v>
      </c>
      <c r="D601" t="s">
        <v>1210</v>
      </c>
      <c r="E601">
        <v>16</v>
      </c>
      <c r="F601">
        <v>65.84</v>
      </c>
      <c r="G601" s="2">
        <v>38497.525347222225</v>
      </c>
      <c r="I601">
        <v>593</v>
      </c>
      <c r="J601">
        <v>110</v>
      </c>
      <c r="K601" t="s">
        <v>1217</v>
      </c>
      <c r="L601" t="s">
        <v>426</v>
      </c>
      <c r="M601">
        <v>14</v>
      </c>
      <c r="N601">
        <v>59.86</v>
      </c>
      <c r="O601" s="2">
        <v>38497.525347222225</v>
      </c>
    </row>
    <row r="602" spans="1:15" x14ac:dyDescent="0.25">
      <c r="A602">
        <v>594</v>
      </c>
      <c r="B602">
        <v>136</v>
      </c>
      <c r="C602" t="s">
        <v>1211</v>
      </c>
      <c r="D602" t="s">
        <v>1212</v>
      </c>
      <c r="E602">
        <v>15</v>
      </c>
      <c r="F602">
        <v>62.85</v>
      </c>
      <c r="G602" s="2">
        <v>38503.888993055552</v>
      </c>
      <c r="I602">
        <v>594</v>
      </c>
      <c r="J602">
        <v>61</v>
      </c>
      <c r="K602" t="s">
        <v>1215</v>
      </c>
      <c r="L602" t="s">
        <v>1216</v>
      </c>
      <c r="M602">
        <v>14</v>
      </c>
      <c r="N602">
        <v>58.86</v>
      </c>
      <c r="O602" s="2">
        <v>38503.888993055552</v>
      </c>
    </row>
    <row r="603" spans="1:15" x14ac:dyDescent="0.25">
      <c r="A603">
        <v>595</v>
      </c>
      <c r="B603">
        <v>248</v>
      </c>
      <c r="C603" t="s">
        <v>1213</v>
      </c>
      <c r="D603" t="s">
        <v>1214</v>
      </c>
      <c r="E603">
        <v>15</v>
      </c>
      <c r="F603">
        <v>50.85</v>
      </c>
      <c r="G603" s="2">
        <v>38499.094097222223</v>
      </c>
      <c r="I603">
        <v>595</v>
      </c>
      <c r="J603">
        <v>97</v>
      </c>
      <c r="K603" t="s">
        <v>1171</v>
      </c>
      <c r="L603" t="s">
        <v>106</v>
      </c>
      <c r="M603">
        <v>18</v>
      </c>
      <c r="N603">
        <v>58.82</v>
      </c>
      <c r="O603" s="2">
        <v>38499.094097222223</v>
      </c>
    </row>
    <row r="604" spans="1:15" x14ac:dyDescent="0.25">
      <c r="A604">
        <v>596</v>
      </c>
      <c r="B604">
        <v>110</v>
      </c>
      <c r="C604" t="s">
        <v>1217</v>
      </c>
      <c r="D604" t="s">
        <v>426</v>
      </c>
      <c r="E604">
        <v>14</v>
      </c>
      <c r="F604">
        <v>59.86</v>
      </c>
      <c r="G604" s="2">
        <v>38500.132060185184</v>
      </c>
      <c r="I604">
        <v>596</v>
      </c>
      <c r="J604">
        <v>395</v>
      </c>
      <c r="K604" t="s">
        <v>1153</v>
      </c>
      <c r="L604" t="s">
        <v>1154</v>
      </c>
      <c r="M604">
        <v>19</v>
      </c>
      <c r="N604">
        <v>57.81</v>
      </c>
      <c r="O604" s="2">
        <v>38500.132060185184</v>
      </c>
    </row>
    <row r="605" spans="1:15" x14ac:dyDescent="0.25">
      <c r="A605">
        <v>597</v>
      </c>
      <c r="B605">
        <v>61</v>
      </c>
      <c r="C605" t="s">
        <v>1215</v>
      </c>
      <c r="D605" t="s">
        <v>1216</v>
      </c>
      <c r="E605">
        <v>14</v>
      </c>
      <c r="F605">
        <v>58.86</v>
      </c>
      <c r="G605" s="2">
        <v>38503.949826388889</v>
      </c>
      <c r="I605">
        <v>597</v>
      </c>
      <c r="J605">
        <v>318</v>
      </c>
      <c r="K605" t="s">
        <v>1220</v>
      </c>
      <c r="L605" t="s">
        <v>1221</v>
      </c>
      <c r="M605">
        <v>12</v>
      </c>
      <c r="N605">
        <v>52.88</v>
      </c>
      <c r="O605" s="2">
        <v>38503.949826388889</v>
      </c>
    </row>
    <row r="606" spans="1:15" x14ac:dyDescent="0.25">
      <c r="A606">
        <v>598</v>
      </c>
      <c r="B606">
        <v>281</v>
      </c>
      <c r="C606" t="s">
        <v>1218</v>
      </c>
      <c r="D606" t="s">
        <v>1219</v>
      </c>
      <c r="E606">
        <v>14</v>
      </c>
      <c r="F606">
        <v>50.86</v>
      </c>
      <c r="G606" s="2">
        <v>38500.823379629626</v>
      </c>
      <c r="I606">
        <v>598</v>
      </c>
      <c r="J606">
        <v>281</v>
      </c>
      <c r="K606" t="s">
        <v>1218</v>
      </c>
      <c r="L606" t="s">
        <v>1219</v>
      </c>
      <c r="M606">
        <v>14</v>
      </c>
      <c r="N606">
        <v>50.86</v>
      </c>
      <c r="O606" s="2">
        <v>38500.823379629626</v>
      </c>
    </row>
    <row r="607" spans="1:15" x14ac:dyDescent="0.25">
      <c r="A607">
        <v>599</v>
      </c>
      <c r="B607">
        <v>318</v>
      </c>
      <c r="C607" t="s">
        <v>1220</v>
      </c>
      <c r="D607" t="s">
        <v>1221</v>
      </c>
      <c r="E607">
        <v>12</v>
      </c>
      <c r="F607">
        <v>52.88</v>
      </c>
      <c r="G607" s="2">
        <v>38498.429479166669</v>
      </c>
      <c r="I607">
        <v>599</v>
      </c>
      <c r="J607">
        <v>248</v>
      </c>
      <c r="K607" t="s">
        <v>1213</v>
      </c>
      <c r="L607" t="s">
        <v>1214</v>
      </c>
      <c r="M607">
        <v>15</v>
      </c>
      <c r="N607">
        <v>50.85</v>
      </c>
      <c r="O607" s="2">
        <v>38498.429479166669</v>
      </c>
    </row>
  </sheetData>
  <mergeCells count="1">
    <mergeCell ref="A2:S4"/>
  </mergeCells>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AE98-B791-44EA-8158-641C523B2D9A}">
  <sheetPr codeName="Feuil7"/>
  <dimension ref="A2:S35"/>
  <sheetViews>
    <sheetView topLeftCell="B1" workbookViewId="0">
      <selection activeCell="O37" sqref="O37"/>
    </sheetView>
  </sheetViews>
  <sheetFormatPr baseColWidth="10" defaultColWidth="11.42578125" defaultRowHeight="15" x14ac:dyDescent="0.25"/>
  <cols>
    <col min="2" max="2" width="20" bestFit="1" customWidth="1"/>
    <col min="3" max="3" width="22.85546875" bestFit="1" customWidth="1"/>
    <col min="17" max="17" width="23" bestFit="1" customWidth="1"/>
    <col min="18" max="18" width="23.85546875" bestFit="1" customWidth="1"/>
    <col min="19" max="19" width="14.5703125" bestFit="1" customWidth="1"/>
    <col min="20" max="20" width="4.85546875" bestFit="1" customWidth="1"/>
    <col min="21" max="21" width="4.42578125" bestFit="1" customWidth="1"/>
    <col min="22" max="22" width="12.5703125" bestFit="1" customWidth="1"/>
    <col min="23" max="24" width="4" bestFit="1" customWidth="1"/>
    <col min="25" max="25" width="15.7109375" bestFit="1" customWidth="1"/>
    <col min="26" max="26" width="8.140625" bestFit="1" customWidth="1"/>
    <col min="27" max="31" width="4" bestFit="1" customWidth="1"/>
    <col min="32" max="32" width="11.140625" bestFit="1" customWidth="1"/>
    <col min="33" max="33" width="6.7109375" bestFit="1" customWidth="1"/>
    <col min="34" max="39" width="4" bestFit="1" customWidth="1"/>
    <col min="40" max="40" width="9.7109375" bestFit="1" customWidth="1"/>
    <col min="41" max="41" width="6.28515625" bestFit="1" customWidth="1"/>
    <col min="42" max="47" width="4" bestFit="1" customWidth="1"/>
    <col min="48" max="48" width="9.28515625" bestFit="1" customWidth="1"/>
    <col min="49" max="49" width="12.5703125" bestFit="1" customWidth="1"/>
  </cols>
  <sheetData>
    <row r="2" spans="1:19" x14ac:dyDescent="0.25">
      <c r="A2" s="22" t="s">
        <v>1226</v>
      </c>
      <c r="B2" s="23"/>
      <c r="C2" s="23"/>
      <c r="D2" s="23"/>
      <c r="E2" s="23"/>
      <c r="F2" s="23"/>
      <c r="G2" s="23"/>
      <c r="H2" s="23"/>
      <c r="I2" s="23"/>
      <c r="J2" s="23"/>
      <c r="K2" s="23"/>
      <c r="L2" s="23"/>
      <c r="M2" s="23"/>
      <c r="N2" s="23"/>
      <c r="O2" s="23"/>
      <c r="P2" s="23"/>
      <c r="Q2" s="23"/>
      <c r="R2" s="23"/>
    </row>
    <row r="3" spans="1:19" x14ac:dyDescent="0.25">
      <c r="A3" s="23"/>
      <c r="B3" s="23"/>
      <c r="C3" s="23"/>
      <c r="D3" s="23"/>
      <c r="E3" s="23"/>
      <c r="F3" s="23"/>
      <c r="G3" s="23"/>
      <c r="H3" s="23"/>
      <c r="I3" s="23"/>
      <c r="J3" s="23"/>
      <c r="K3" s="23"/>
      <c r="L3" s="23"/>
      <c r="M3" s="23"/>
      <c r="N3" s="23"/>
      <c r="O3" s="23"/>
      <c r="P3" s="23"/>
      <c r="Q3" s="23"/>
      <c r="R3" s="23"/>
    </row>
    <row r="4" spans="1:19" x14ac:dyDescent="0.25">
      <c r="A4" s="23"/>
      <c r="B4" s="23"/>
      <c r="C4" s="23"/>
      <c r="D4" s="23"/>
      <c r="E4" s="23"/>
      <c r="F4" s="23"/>
      <c r="G4" s="23"/>
      <c r="H4" s="23"/>
      <c r="I4" s="23"/>
      <c r="J4" s="23"/>
      <c r="K4" s="23"/>
      <c r="L4" s="23"/>
      <c r="M4" s="23"/>
      <c r="N4" s="23"/>
      <c r="O4" s="23"/>
      <c r="P4" s="23"/>
      <c r="Q4" s="23"/>
      <c r="R4" s="23"/>
    </row>
    <row r="7" spans="1:19" x14ac:dyDescent="0.25">
      <c r="Q7" s="11" t="s">
        <v>10</v>
      </c>
      <c r="R7" s="11" t="s">
        <v>11</v>
      </c>
      <c r="S7" s="11" t="s">
        <v>0</v>
      </c>
    </row>
    <row r="8" spans="1:19" x14ac:dyDescent="0.25">
      <c r="B8" s="4" t="s">
        <v>10</v>
      </c>
      <c r="C8" t="s">
        <v>1227</v>
      </c>
      <c r="Q8" s="11" t="s">
        <v>16</v>
      </c>
      <c r="R8" s="11" t="s">
        <v>1232</v>
      </c>
      <c r="S8" s="11" t="s">
        <v>1233</v>
      </c>
    </row>
    <row r="9" spans="1:19" x14ac:dyDescent="0.25">
      <c r="B9" t="s">
        <v>16</v>
      </c>
      <c r="C9">
        <v>2320</v>
      </c>
      <c r="Q9" s="11" t="s">
        <v>16</v>
      </c>
      <c r="R9" s="11" t="s">
        <v>1234</v>
      </c>
      <c r="S9" s="11" t="s">
        <v>1233</v>
      </c>
    </row>
    <row r="10" spans="1:19" x14ac:dyDescent="0.25">
      <c r="B10" t="s">
        <v>40</v>
      </c>
      <c r="C10">
        <v>2200</v>
      </c>
      <c r="Q10" s="11" t="s">
        <v>16</v>
      </c>
      <c r="R10" s="11" t="s">
        <v>1235</v>
      </c>
      <c r="S10" s="11" t="s">
        <v>1236</v>
      </c>
    </row>
    <row r="11" spans="1:19" x14ac:dyDescent="0.25">
      <c r="B11" t="s">
        <v>22</v>
      </c>
      <c r="C11">
        <v>2247</v>
      </c>
      <c r="Q11" s="11" t="s">
        <v>16</v>
      </c>
      <c r="R11" s="11" t="s">
        <v>1237</v>
      </c>
      <c r="S11" s="11" t="s">
        <v>1238</v>
      </c>
    </row>
    <row r="12" spans="1:19" x14ac:dyDescent="0.25">
      <c r="B12" t="s">
        <v>28</v>
      </c>
      <c r="C12">
        <v>2463</v>
      </c>
      <c r="Q12" s="11" t="s">
        <v>40</v>
      </c>
      <c r="R12" s="11" t="s">
        <v>1232</v>
      </c>
      <c r="S12" s="11" t="s">
        <v>1239</v>
      </c>
    </row>
    <row r="13" spans="1:19" x14ac:dyDescent="0.25">
      <c r="B13" t="s">
        <v>34</v>
      </c>
      <c r="C13">
        <v>2231</v>
      </c>
      <c r="Q13" s="11" t="s">
        <v>40</v>
      </c>
      <c r="R13" s="11" t="s">
        <v>1234</v>
      </c>
      <c r="S13" s="11" t="s">
        <v>1233</v>
      </c>
    </row>
    <row r="14" spans="1:19" x14ac:dyDescent="0.25">
      <c r="B14" t="s">
        <v>50</v>
      </c>
      <c r="C14">
        <v>2311</v>
      </c>
      <c r="Q14" s="11" t="s">
        <v>40</v>
      </c>
      <c r="R14" s="11" t="s">
        <v>1235</v>
      </c>
      <c r="S14" s="11" t="s">
        <v>1240</v>
      </c>
    </row>
    <row r="15" spans="1:19" x14ac:dyDescent="0.25">
      <c r="B15" t="s">
        <v>45</v>
      </c>
      <c r="C15">
        <v>2272</v>
      </c>
      <c r="Q15" s="11" t="s">
        <v>40</v>
      </c>
      <c r="R15" s="11" t="s">
        <v>1237</v>
      </c>
      <c r="S15" s="11" t="s">
        <v>1241</v>
      </c>
    </row>
    <row r="16" spans="1:19" x14ac:dyDescent="0.25">
      <c r="B16" t="s">
        <v>1224</v>
      </c>
      <c r="C16">
        <v>16044</v>
      </c>
      <c r="Q16" s="11" t="s">
        <v>22</v>
      </c>
      <c r="R16" s="11" t="s">
        <v>1232</v>
      </c>
      <c r="S16" s="11" t="s">
        <v>1242</v>
      </c>
    </row>
    <row r="17" spans="2:19" x14ac:dyDescent="0.25">
      <c r="Q17" s="11" t="s">
        <v>22</v>
      </c>
      <c r="R17" s="11" t="s">
        <v>1234</v>
      </c>
      <c r="S17" s="11" t="s">
        <v>1243</v>
      </c>
    </row>
    <row r="18" spans="2:19" x14ac:dyDescent="0.25">
      <c r="Q18" s="11" t="s">
        <v>22</v>
      </c>
      <c r="R18" s="11" t="s">
        <v>1235</v>
      </c>
      <c r="S18" s="11" t="s">
        <v>1244</v>
      </c>
    </row>
    <row r="19" spans="2:19" x14ac:dyDescent="0.25">
      <c r="Q19" s="11" t="s">
        <v>22</v>
      </c>
      <c r="R19" s="11" t="s">
        <v>1237</v>
      </c>
      <c r="S19" s="11" t="s">
        <v>1245</v>
      </c>
    </row>
    <row r="20" spans="2:19" x14ac:dyDescent="0.25">
      <c r="B20" s="4" t="s">
        <v>11</v>
      </c>
      <c r="C20" t="s">
        <v>1227</v>
      </c>
      <c r="Q20" s="11" t="s">
        <v>28</v>
      </c>
      <c r="R20" s="11" t="s">
        <v>1232</v>
      </c>
      <c r="S20" s="11" t="s">
        <v>1246</v>
      </c>
    </row>
    <row r="21" spans="2:19" x14ac:dyDescent="0.25">
      <c r="B21" t="s">
        <v>17</v>
      </c>
      <c r="C21">
        <v>4115</v>
      </c>
      <c r="Q21" s="11" t="s">
        <v>28</v>
      </c>
      <c r="R21" s="11" t="s">
        <v>1234</v>
      </c>
      <c r="S21" s="11" t="s">
        <v>1247</v>
      </c>
    </row>
    <row r="22" spans="2:19" x14ac:dyDescent="0.25">
      <c r="B22" t="s">
        <v>23</v>
      </c>
      <c r="C22">
        <v>3998</v>
      </c>
      <c r="Q22" s="11" t="s">
        <v>28</v>
      </c>
      <c r="R22" s="11" t="s">
        <v>1235</v>
      </c>
      <c r="S22" s="11" t="s">
        <v>1248</v>
      </c>
    </row>
    <row r="23" spans="2:19" x14ac:dyDescent="0.25">
      <c r="B23" t="s">
        <v>29</v>
      </c>
      <c r="C23">
        <v>3986</v>
      </c>
      <c r="Q23" s="11" t="s">
        <v>28</v>
      </c>
      <c r="R23" s="11" t="s">
        <v>1237</v>
      </c>
      <c r="S23" s="11" t="s">
        <v>1249</v>
      </c>
    </row>
    <row r="24" spans="2:19" x14ac:dyDescent="0.25">
      <c r="B24" t="s">
        <v>35</v>
      </c>
      <c r="C24">
        <v>3945</v>
      </c>
      <c r="Q24" s="11" t="s">
        <v>34</v>
      </c>
      <c r="R24" s="11" t="s">
        <v>1232</v>
      </c>
      <c r="S24" s="11" t="s">
        <v>1238</v>
      </c>
    </row>
    <row r="25" spans="2:19" x14ac:dyDescent="0.25">
      <c r="B25" t="s">
        <v>1224</v>
      </c>
      <c r="C25">
        <v>16044</v>
      </c>
      <c r="Q25" s="11" t="s">
        <v>34</v>
      </c>
      <c r="R25" s="11" t="s">
        <v>1234</v>
      </c>
      <c r="S25" s="11" t="s">
        <v>1250</v>
      </c>
    </row>
    <row r="26" spans="2:19" x14ac:dyDescent="0.25">
      <c r="Q26" s="11" t="s">
        <v>34</v>
      </c>
      <c r="R26" s="11" t="s">
        <v>1235</v>
      </c>
      <c r="S26" s="11" t="s">
        <v>1239</v>
      </c>
    </row>
    <row r="27" spans="2:19" x14ac:dyDescent="0.25">
      <c r="Q27" s="11" t="s">
        <v>34</v>
      </c>
      <c r="R27" s="11" t="s">
        <v>1237</v>
      </c>
      <c r="S27" s="11" t="s">
        <v>1251</v>
      </c>
    </row>
    <row r="28" spans="2:19" x14ac:dyDescent="0.25">
      <c r="Q28" s="11" t="s">
        <v>50</v>
      </c>
      <c r="R28" s="11" t="s">
        <v>1232</v>
      </c>
      <c r="S28" s="11" t="s">
        <v>1252</v>
      </c>
    </row>
    <row r="29" spans="2:19" x14ac:dyDescent="0.25">
      <c r="Q29" s="11" t="s">
        <v>50</v>
      </c>
      <c r="R29" s="11" t="s">
        <v>1234</v>
      </c>
      <c r="S29" s="11" t="s">
        <v>1253</v>
      </c>
    </row>
    <row r="30" spans="2:19" x14ac:dyDescent="0.25">
      <c r="Q30" s="11" t="s">
        <v>50</v>
      </c>
      <c r="R30" s="11" t="s">
        <v>1235</v>
      </c>
      <c r="S30" s="11" t="s">
        <v>1245</v>
      </c>
    </row>
    <row r="31" spans="2:19" x14ac:dyDescent="0.25">
      <c r="Q31" s="11" t="s">
        <v>50</v>
      </c>
      <c r="R31" s="11" t="s">
        <v>1237</v>
      </c>
      <c r="S31" s="11" t="s">
        <v>1254</v>
      </c>
    </row>
    <row r="32" spans="2:19" x14ac:dyDescent="0.25">
      <c r="Q32" s="11" t="s">
        <v>45</v>
      </c>
      <c r="R32" s="11" t="s">
        <v>1232</v>
      </c>
      <c r="S32" s="11" t="s">
        <v>1255</v>
      </c>
    </row>
    <row r="33" spans="17:19" x14ac:dyDescent="0.25">
      <c r="Q33" s="11" t="s">
        <v>45</v>
      </c>
      <c r="R33" s="11" t="s">
        <v>1234</v>
      </c>
      <c r="S33" s="11" t="s">
        <v>1256</v>
      </c>
    </row>
    <row r="34" spans="17:19" x14ac:dyDescent="0.25">
      <c r="Q34" s="11" t="s">
        <v>45</v>
      </c>
      <c r="R34" s="11" t="s">
        <v>1235</v>
      </c>
      <c r="S34" s="11" t="s">
        <v>1257</v>
      </c>
    </row>
    <row r="35" spans="17:19" x14ac:dyDescent="0.25">
      <c r="Q35" s="11" t="s">
        <v>45</v>
      </c>
      <c r="R35" s="11" t="s">
        <v>1237</v>
      </c>
      <c r="S35" s="11" t="s">
        <v>1258</v>
      </c>
    </row>
  </sheetData>
  <mergeCells count="1">
    <mergeCell ref="A2:R4"/>
  </mergeCells>
  <pageMargins left="0.7" right="0.7" top="0.75" bottom="0.75" header="0.3" footer="0.3"/>
  <pageSetup paperSize="9" orientation="portrait" r:id="rId3"/>
  <drawing r:id="rId4"/>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EB620-6E30-4014-86D1-38138683B2CC}">
  <sheetPr codeName="Feuil8"/>
  <dimension ref="A2:S612"/>
  <sheetViews>
    <sheetView tabSelected="1" topLeftCell="D1" workbookViewId="0">
      <selection activeCell="S16" sqref="S16"/>
    </sheetView>
  </sheetViews>
  <sheetFormatPr baseColWidth="10" defaultColWidth="11.42578125" defaultRowHeight="15" x14ac:dyDescent="0.25"/>
  <cols>
    <col min="2" max="2" width="12.85546875" bestFit="1" customWidth="1"/>
    <col min="3" max="3" width="27.5703125" bestFit="1" customWidth="1"/>
    <col min="6" max="6" width="15.42578125" bestFit="1" customWidth="1"/>
    <col min="7" max="7" width="18.42578125" bestFit="1" customWidth="1"/>
    <col min="8" max="8" width="14.5703125" bestFit="1" customWidth="1"/>
    <col min="15" max="15" width="12" bestFit="1" customWidth="1"/>
    <col min="16" max="16" width="17.140625" bestFit="1" customWidth="1"/>
    <col min="17" max="17" width="22.7109375" bestFit="1" customWidth="1"/>
  </cols>
  <sheetData>
    <row r="2" spans="1:19" x14ac:dyDescent="0.25">
      <c r="A2" s="22" t="s">
        <v>1228</v>
      </c>
      <c r="B2" s="23"/>
      <c r="C2" s="23"/>
      <c r="D2" s="23"/>
      <c r="E2" s="23"/>
      <c r="F2" s="23"/>
      <c r="G2" s="23"/>
      <c r="H2" s="23"/>
      <c r="I2" s="23"/>
      <c r="J2" s="23"/>
      <c r="K2" s="23"/>
      <c r="L2" s="23"/>
      <c r="M2" s="23"/>
      <c r="N2" s="23"/>
      <c r="O2" s="23"/>
      <c r="P2" s="23"/>
      <c r="Q2" s="23"/>
      <c r="R2" s="23"/>
      <c r="S2" s="23"/>
    </row>
    <row r="3" spans="1:19" x14ac:dyDescent="0.25">
      <c r="A3" s="23"/>
      <c r="B3" s="23"/>
      <c r="C3" s="23"/>
      <c r="D3" s="23"/>
      <c r="E3" s="23"/>
      <c r="F3" s="23"/>
      <c r="G3" s="23"/>
      <c r="H3" s="23"/>
      <c r="I3" s="23"/>
      <c r="J3" s="23"/>
      <c r="K3" s="23"/>
      <c r="L3" s="23"/>
      <c r="M3" s="23"/>
      <c r="N3" s="23"/>
      <c r="O3" s="23"/>
      <c r="P3" s="23"/>
      <c r="Q3" s="23"/>
      <c r="R3" s="23"/>
      <c r="S3" s="23"/>
    </row>
    <row r="4" spans="1:19" x14ac:dyDescent="0.25">
      <c r="A4" s="23"/>
      <c r="B4" s="23"/>
      <c r="C4" s="23"/>
      <c r="D4" s="23"/>
      <c r="E4" s="23"/>
      <c r="F4" s="23"/>
      <c r="G4" s="23"/>
      <c r="H4" s="23"/>
      <c r="I4" s="23"/>
      <c r="J4" s="23"/>
      <c r="K4" s="23"/>
      <c r="L4" s="23"/>
      <c r="M4" s="23"/>
      <c r="N4" s="23"/>
      <c r="O4" s="23"/>
      <c r="P4" s="23"/>
      <c r="Q4" s="23"/>
      <c r="R4" s="23"/>
      <c r="S4" s="23"/>
    </row>
    <row r="10" spans="1:19" x14ac:dyDescent="0.25">
      <c r="B10" s="13" t="s">
        <v>1259</v>
      </c>
      <c r="C10" s="14" t="s">
        <v>1260</v>
      </c>
    </row>
    <row r="11" spans="1:19" x14ac:dyDescent="0.25">
      <c r="B11" s="15" t="s">
        <v>1261</v>
      </c>
      <c r="C11" s="16">
        <v>1572</v>
      </c>
    </row>
    <row r="12" spans="1:19" x14ac:dyDescent="0.25">
      <c r="B12" s="17" t="s">
        <v>1263</v>
      </c>
      <c r="C12" s="18">
        <v>1426</v>
      </c>
      <c r="F12" s="11" t="s">
        <v>10</v>
      </c>
      <c r="G12" s="11" t="s">
        <v>11</v>
      </c>
      <c r="H12" s="11" t="s">
        <v>0</v>
      </c>
    </row>
    <row r="13" spans="1:19" x14ac:dyDescent="0.25">
      <c r="B13" s="15" t="s">
        <v>1265</v>
      </c>
      <c r="C13" s="16">
        <v>968</v>
      </c>
      <c r="F13" s="11" t="s">
        <v>28</v>
      </c>
      <c r="G13" s="11" t="s">
        <v>1232</v>
      </c>
      <c r="H13" s="11" t="s">
        <v>1246</v>
      </c>
      <c r="O13" s="5" t="s">
        <v>4</v>
      </c>
      <c r="P13" s="6" t="s">
        <v>7</v>
      </c>
      <c r="Q13" s="19" t="s">
        <v>8</v>
      </c>
      <c r="S13" s="12">
        <f>AVERAGE(Q13:Q612)</f>
        <v>112.53181969949928</v>
      </c>
    </row>
    <row r="14" spans="1:19" x14ac:dyDescent="0.25">
      <c r="B14" s="17" t="s">
        <v>1267</v>
      </c>
      <c r="C14" s="18">
        <v>825</v>
      </c>
      <c r="F14" s="11" t="s">
        <v>45</v>
      </c>
      <c r="G14" s="11" t="s">
        <v>1234</v>
      </c>
      <c r="H14" s="11" t="s">
        <v>1256</v>
      </c>
      <c r="O14" s="8">
        <v>148</v>
      </c>
      <c r="P14" s="7">
        <v>46</v>
      </c>
      <c r="Q14" s="20">
        <v>216.54</v>
      </c>
      <c r="S14">
        <f>ROUND(SUM(Q13:Q612)/SUM(P13:P612),2)</f>
        <v>4.2</v>
      </c>
    </row>
    <row r="15" spans="1:19" x14ac:dyDescent="0.25">
      <c r="B15" s="15" t="s">
        <v>1269</v>
      </c>
      <c r="C15" s="16">
        <v>796</v>
      </c>
      <c r="F15" s="11" t="s">
        <v>28</v>
      </c>
      <c r="G15" s="11" t="s">
        <v>1235</v>
      </c>
      <c r="H15" s="11" t="s">
        <v>1248</v>
      </c>
      <c r="O15" s="10">
        <v>526</v>
      </c>
      <c r="P15" s="9">
        <v>45</v>
      </c>
      <c r="Q15" s="21">
        <v>221.55</v>
      </c>
    </row>
    <row r="16" spans="1:19" x14ac:dyDescent="0.25">
      <c r="F16" s="11" t="s">
        <v>50</v>
      </c>
      <c r="G16" s="11" t="s">
        <v>1232</v>
      </c>
      <c r="H16" s="11" t="s">
        <v>1252</v>
      </c>
      <c r="O16" s="8">
        <v>144</v>
      </c>
      <c r="P16" s="7">
        <v>42</v>
      </c>
      <c r="Q16" s="20">
        <v>195.58</v>
      </c>
    </row>
    <row r="17" spans="6:17" x14ac:dyDescent="0.25">
      <c r="F17" s="11" t="s">
        <v>22</v>
      </c>
      <c r="G17" s="11" t="s">
        <v>1235</v>
      </c>
      <c r="H17" s="11" t="s">
        <v>1244</v>
      </c>
      <c r="O17" s="10">
        <v>236</v>
      </c>
      <c r="P17" s="9">
        <v>42</v>
      </c>
      <c r="Q17" s="21">
        <v>175.58</v>
      </c>
    </row>
    <row r="18" spans="6:17" x14ac:dyDescent="0.25">
      <c r="F18" s="11" t="s">
        <v>16</v>
      </c>
      <c r="G18" s="11" t="s">
        <v>1232</v>
      </c>
      <c r="H18" s="11" t="s">
        <v>1233</v>
      </c>
      <c r="O18" s="8">
        <v>75</v>
      </c>
      <c r="P18" s="7">
        <v>41</v>
      </c>
      <c r="Q18" s="20">
        <v>155.59</v>
      </c>
    </row>
    <row r="19" spans="6:17" x14ac:dyDescent="0.25">
      <c r="F19" s="11" t="s">
        <v>16</v>
      </c>
      <c r="G19" s="11" t="s">
        <v>1234</v>
      </c>
      <c r="H19" s="11" t="s">
        <v>1233</v>
      </c>
      <c r="O19" s="10">
        <v>469</v>
      </c>
      <c r="P19" s="9">
        <v>40</v>
      </c>
      <c r="Q19" s="21">
        <v>177.6</v>
      </c>
    </row>
    <row r="20" spans="6:17" x14ac:dyDescent="0.25">
      <c r="F20" s="11" t="s">
        <v>40</v>
      </c>
      <c r="G20" s="11" t="s">
        <v>1234</v>
      </c>
      <c r="H20" s="11" t="s">
        <v>1233</v>
      </c>
      <c r="O20" s="8">
        <v>197</v>
      </c>
      <c r="P20" s="7">
        <v>40</v>
      </c>
      <c r="Q20" s="20">
        <v>154.6</v>
      </c>
    </row>
    <row r="21" spans="6:17" x14ac:dyDescent="0.25">
      <c r="F21" s="11" t="s">
        <v>34</v>
      </c>
      <c r="G21" s="11" t="s">
        <v>1237</v>
      </c>
      <c r="H21" s="11" t="s">
        <v>1251</v>
      </c>
      <c r="O21" s="10">
        <v>137</v>
      </c>
      <c r="P21" s="9">
        <v>39</v>
      </c>
      <c r="Q21" s="21">
        <v>194.61</v>
      </c>
    </row>
    <row r="22" spans="6:17" x14ac:dyDescent="0.25">
      <c r="F22" s="11" t="s">
        <v>50</v>
      </c>
      <c r="G22" s="11" t="s">
        <v>1234</v>
      </c>
      <c r="H22" s="11" t="s">
        <v>1253</v>
      </c>
      <c r="O22" s="8">
        <v>178</v>
      </c>
      <c r="P22" s="7">
        <v>39</v>
      </c>
      <c r="Q22" s="20">
        <v>194.61</v>
      </c>
    </row>
    <row r="23" spans="6:17" x14ac:dyDescent="0.25">
      <c r="F23" s="11" t="s">
        <v>16</v>
      </c>
      <c r="G23" s="11" t="s">
        <v>1235</v>
      </c>
      <c r="H23" s="11" t="s">
        <v>1236</v>
      </c>
      <c r="O23" s="10">
        <v>468</v>
      </c>
      <c r="P23" s="9">
        <v>39</v>
      </c>
      <c r="Q23" s="21">
        <v>175.61</v>
      </c>
    </row>
    <row r="24" spans="6:17" x14ac:dyDescent="0.25">
      <c r="F24" s="11" t="s">
        <v>45</v>
      </c>
      <c r="G24" s="11" t="s">
        <v>1237</v>
      </c>
      <c r="H24" s="11" t="s">
        <v>1258</v>
      </c>
      <c r="O24" s="8">
        <v>459</v>
      </c>
      <c r="P24" s="7">
        <v>38</v>
      </c>
      <c r="Q24" s="20">
        <v>186.62</v>
      </c>
    </row>
    <row r="25" spans="6:17" x14ac:dyDescent="0.25">
      <c r="F25" s="11" t="s">
        <v>16</v>
      </c>
      <c r="G25" s="11" t="s">
        <v>1237</v>
      </c>
      <c r="H25" s="11" t="s">
        <v>1238</v>
      </c>
      <c r="O25" s="10">
        <v>410</v>
      </c>
      <c r="P25" s="9">
        <v>38</v>
      </c>
      <c r="Q25" s="21">
        <v>167.62</v>
      </c>
    </row>
    <row r="26" spans="6:17" x14ac:dyDescent="0.25">
      <c r="F26" s="11" t="s">
        <v>34</v>
      </c>
      <c r="G26" s="11" t="s">
        <v>1232</v>
      </c>
      <c r="H26" s="11" t="s">
        <v>1238</v>
      </c>
      <c r="O26" s="8">
        <v>295</v>
      </c>
      <c r="P26" s="7">
        <v>38</v>
      </c>
      <c r="Q26" s="20">
        <v>162.62</v>
      </c>
    </row>
    <row r="27" spans="6:17" x14ac:dyDescent="0.25">
      <c r="F27" s="11" t="s">
        <v>22</v>
      </c>
      <c r="G27" s="11" t="s">
        <v>1237</v>
      </c>
      <c r="H27" s="11" t="s">
        <v>1245</v>
      </c>
      <c r="O27" s="10">
        <v>5</v>
      </c>
      <c r="P27" s="9">
        <v>38</v>
      </c>
      <c r="Q27" s="21">
        <v>144.62</v>
      </c>
    </row>
    <row r="28" spans="6:17" x14ac:dyDescent="0.25">
      <c r="F28" s="11" t="s">
        <v>50</v>
      </c>
      <c r="G28" s="11" t="s">
        <v>1235</v>
      </c>
      <c r="H28" s="11" t="s">
        <v>1245</v>
      </c>
      <c r="O28" s="8">
        <v>176</v>
      </c>
      <c r="P28" s="7">
        <v>37</v>
      </c>
      <c r="Q28" s="20">
        <v>173.63</v>
      </c>
    </row>
    <row r="29" spans="6:17" x14ac:dyDescent="0.25">
      <c r="F29" s="11" t="s">
        <v>50</v>
      </c>
      <c r="G29" s="11" t="s">
        <v>1237</v>
      </c>
      <c r="H29" s="11" t="s">
        <v>1254</v>
      </c>
      <c r="O29" s="10">
        <v>366</v>
      </c>
      <c r="P29" s="9">
        <v>37</v>
      </c>
      <c r="Q29" s="21">
        <v>152.63</v>
      </c>
    </row>
    <row r="30" spans="6:17" x14ac:dyDescent="0.25">
      <c r="F30" s="11" t="s">
        <v>28</v>
      </c>
      <c r="G30" s="11" t="s">
        <v>1237</v>
      </c>
      <c r="H30" s="11" t="s">
        <v>1249</v>
      </c>
      <c r="O30" s="8">
        <v>257</v>
      </c>
      <c r="P30" s="7">
        <v>37</v>
      </c>
      <c r="Q30" s="20">
        <v>151.63</v>
      </c>
    </row>
    <row r="31" spans="6:17" x14ac:dyDescent="0.25">
      <c r="F31" s="11" t="s">
        <v>22</v>
      </c>
      <c r="G31" s="11" t="s">
        <v>1234</v>
      </c>
      <c r="H31" s="11" t="s">
        <v>1243</v>
      </c>
      <c r="O31" s="10">
        <v>198</v>
      </c>
      <c r="P31" s="9">
        <v>37</v>
      </c>
      <c r="Q31" s="21">
        <v>141.63</v>
      </c>
    </row>
    <row r="32" spans="6:17" x14ac:dyDescent="0.25">
      <c r="F32" s="11" t="s">
        <v>40</v>
      </c>
      <c r="G32" s="11" t="s">
        <v>1232</v>
      </c>
      <c r="H32" s="11" t="s">
        <v>1239</v>
      </c>
      <c r="O32" s="8">
        <v>267</v>
      </c>
      <c r="P32" s="7">
        <v>36</v>
      </c>
      <c r="Q32" s="20">
        <v>159.63999999999999</v>
      </c>
    </row>
    <row r="33" spans="4:17" x14ac:dyDescent="0.25">
      <c r="F33" s="11" t="s">
        <v>34</v>
      </c>
      <c r="G33" s="11" t="s">
        <v>1235</v>
      </c>
      <c r="H33" s="11" t="s">
        <v>1239</v>
      </c>
      <c r="O33" s="10">
        <v>439</v>
      </c>
      <c r="P33" s="9">
        <v>36</v>
      </c>
      <c r="Q33" s="21">
        <v>151.63999999999999</v>
      </c>
    </row>
    <row r="34" spans="4:17" x14ac:dyDescent="0.25">
      <c r="F34" s="11" t="s">
        <v>45</v>
      </c>
      <c r="G34" s="11" t="s">
        <v>1235</v>
      </c>
      <c r="H34" s="11" t="s">
        <v>1257</v>
      </c>
      <c r="O34" s="8">
        <v>348</v>
      </c>
      <c r="P34" s="7">
        <v>36</v>
      </c>
      <c r="Q34" s="20">
        <v>146.63999999999999</v>
      </c>
    </row>
    <row r="35" spans="4:17" ht="18.75" x14ac:dyDescent="0.25">
      <c r="D35" s="1"/>
      <c r="F35" s="11" t="s">
        <v>28</v>
      </c>
      <c r="G35" s="11" t="s">
        <v>1234</v>
      </c>
      <c r="H35" s="11" t="s">
        <v>1247</v>
      </c>
      <c r="O35" s="10">
        <v>29</v>
      </c>
      <c r="P35" s="9">
        <v>36</v>
      </c>
      <c r="Q35" s="21">
        <v>140.63999999999999</v>
      </c>
    </row>
    <row r="36" spans="4:17" ht="18.75" x14ac:dyDescent="0.25">
      <c r="D36" s="1"/>
      <c r="F36" s="11" t="s">
        <v>40</v>
      </c>
      <c r="G36" s="11" t="s">
        <v>1237</v>
      </c>
      <c r="H36" s="11" t="s">
        <v>1241</v>
      </c>
      <c r="O36" s="8">
        <v>380</v>
      </c>
      <c r="P36" s="7">
        <v>36</v>
      </c>
      <c r="Q36" s="20">
        <v>136.63999999999999</v>
      </c>
    </row>
    <row r="37" spans="4:17" ht="18.75" x14ac:dyDescent="0.25">
      <c r="D37" s="1"/>
      <c r="F37" s="11" t="s">
        <v>45</v>
      </c>
      <c r="G37" s="11" t="s">
        <v>1232</v>
      </c>
      <c r="H37" s="11" t="s">
        <v>1255</v>
      </c>
      <c r="O37" s="10">
        <v>354</v>
      </c>
      <c r="P37" s="9">
        <v>36</v>
      </c>
      <c r="Q37" s="21">
        <v>129.63999999999999</v>
      </c>
    </row>
    <row r="38" spans="4:17" x14ac:dyDescent="0.25">
      <c r="F38" s="11" t="s">
        <v>22</v>
      </c>
      <c r="G38" s="11" t="s">
        <v>1232</v>
      </c>
      <c r="H38" s="11" t="s">
        <v>1242</v>
      </c>
      <c r="O38" s="8">
        <v>50</v>
      </c>
      <c r="P38" s="7">
        <v>35</v>
      </c>
      <c r="Q38" s="20">
        <v>169.65</v>
      </c>
    </row>
    <row r="39" spans="4:17" x14ac:dyDescent="0.25">
      <c r="F39" s="11" t="s">
        <v>34</v>
      </c>
      <c r="G39" s="11" t="s">
        <v>1234</v>
      </c>
      <c r="H39" s="11" t="s">
        <v>1250</v>
      </c>
      <c r="O39" s="10">
        <v>403</v>
      </c>
      <c r="P39" s="9">
        <v>35</v>
      </c>
      <c r="Q39" s="21">
        <v>166.65</v>
      </c>
    </row>
    <row r="40" spans="4:17" x14ac:dyDescent="0.25">
      <c r="F40" s="11" t="s">
        <v>40</v>
      </c>
      <c r="G40" s="11" t="s">
        <v>1235</v>
      </c>
      <c r="H40" s="11" t="s">
        <v>1240</v>
      </c>
      <c r="O40" s="8">
        <v>373</v>
      </c>
      <c r="P40" s="7">
        <v>35</v>
      </c>
      <c r="Q40" s="20">
        <v>161.65</v>
      </c>
    </row>
    <row r="41" spans="4:17" x14ac:dyDescent="0.25">
      <c r="O41" s="10">
        <v>273</v>
      </c>
      <c r="P41" s="9">
        <v>35</v>
      </c>
      <c r="Q41" s="21">
        <v>157.65</v>
      </c>
    </row>
    <row r="42" spans="4:17" x14ac:dyDescent="0.25">
      <c r="O42" s="8">
        <v>368</v>
      </c>
      <c r="P42" s="7">
        <v>35</v>
      </c>
      <c r="Q42" s="20">
        <v>157.65</v>
      </c>
    </row>
    <row r="43" spans="4:17" x14ac:dyDescent="0.25">
      <c r="O43" s="10">
        <v>21</v>
      </c>
      <c r="P43" s="9">
        <v>35</v>
      </c>
      <c r="Q43" s="21">
        <v>155.65</v>
      </c>
    </row>
    <row r="44" spans="4:17" x14ac:dyDescent="0.25">
      <c r="O44" s="8">
        <v>274</v>
      </c>
      <c r="P44" s="7">
        <v>35</v>
      </c>
      <c r="Q44" s="20">
        <v>152.65</v>
      </c>
    </row>
    <row r="45" spans="4:17" x14ac:dyDescent="0.25">
      <c r="O45" s="10">
        <v>506</v>
      </c>
      <c r="P45" s="9">
        <v>35</v>
      </c>
      <c r="Q45" s="21">
        <v>152.65</v>
      </c>
    </row>
    <row r="46" spans="4:17" x14ac:dyDescent="0.25">
      <c r="O46" s="8">
        <v>196</v>
      </c>
      <c r="P46" s="7">
        <v>35</v>
      </c>
      <c r="Q46" s="20">
        <v>151.65</v>
      </c>
    </row>
    <row r="47" spans="4:17" x14ac:dyDescent="0.25">
      <c r="O47" s="10">
        <v>371</v>
      </c>
      <c r="P47" s="9">
        <v>35</v>
      </c>
      <c r="Q47" s="21">
        <v>149.65</v>
      </c>
    </row>
    <row r="48" spans="4:17" x14ac:dyDescent="0.25">
      <c r="O48" s="8">
        <v>204</v>
      </c>
      <c r="P48" s="7">
        <v>35</v>
      </c>
      <c r="Q48" s="20">
        <v>147.65</v>
      </c>
    </row>
    <row r="49" spans="15:17" x14ac:dyDescent="0.25">
      <c r="O49" s="10">
        <v>91</v>
      </c>
      <c r="P49" s="9">
        <v>35</v>
      </c>
      <c r="Q49" s="21">
        <v>113.65</v>
      </c>
    </row>
    <row r="50" spans="15:17" x14ac:dyDescent="0.25">
      <c r="O50" s="8">
        <v>381</v>
      </c>
      <c r="P50" s="7">
        <v>35</v>
      </c>
      <c r="Q50" s="20">
        <v>106.65</v>
      </c>
    </row>
    <row r="51" spans="15:17" x14ac:dyDescent="0.25">
      <c r="O51" s="10">
        <v>181</v>
      </c>
      <c r="P51" s="9">
        <v>34</v>
      </c>
      <c r="Q51" s="21">
        <v>174.66</v>
      </c>
    </row>
    <row r="52" spans="15:17" x14ac:dyDescent="0.25">
      <c r="O52" s="8">
        <v>372</v>
      </c>
      <c r="P52" s="7">
        <v>34</v>
      </c>
      <c r="Q52" s="20">
        <v>158.66</v>
      </c>
    </row>
    <row r="53" spans="15:17" x14ac:dyDescent="0.25">
      <c r="O53" s="10">
        <v>119</v>
      </c>
      <c r="P53" s="9">
        <v>34</v>
      </c>
      <c r="Q53" s="21">
        <v>153.66</v>
      </c>
    </row>
    <row r="54" spans="15:17" x14ac:dyDescent="0.25">
      <c r="O54" s="8">
        <v>26</v>
      </c>
      <c r="P54" s="7">
        <v>34</v>
      </c>
      <c r="Q54" s="20">
        <v>152.66</v>
      </c>
    </row>
    <row r="55" spans="15:17" x14ac:dyDescent="0.25">
      <c r="O55" s="10">
        <v>211</v>
      </c>
      <c r="P55" s="9">
        <v>34</v>
      </c>
      <c r="Q55" s="21">
        <v>151.66</v>
      </c>
    </row>
    <row r="56" spans="15:17" x14ac:dyDescent="0.25">
      <c r="O56" s="8">
        <v>360</v>
      </c>
      <c r="P56" s="7">
        <v>34</v>
      </c>
      <c r="Q56" s="20">
        <v>150.66</v>
      </c>
    </row>
    <row r="57" spans="15:17" x14ac:dyDescent="0.25">
      <c r="O57" s="10">
        <v>66</v>
      </c>
      <c r="P57" s="9">
        <v>34</v>
      </c>
      <c r="Q57" s="21">
        <v>144.66</v>
      </c>
    </row>
    <row r="58" spans="15:17" x14ac:dyDescent="0.25">
      <c r="O58" s="8">
        <v>46</v>
      </c>
      <c r="P58" s="7">
        <v>34</v>
      </c>
      <c r="Q58" s="20">
        <v>142.66</v>
      </c>
    </row>
    <row r="59" spans="15:17" x14ac:dyDescent="0.25">
      <c r="O59" s="10">
        <v>239</v>
      </c>
      <c r="P59" s="9">
        <v>34</v>
      </c>
      <c r="Q59" s="21">
        <v>142.66</v>
      </c>
    </row>
    <row r="60" spans="15:17" x14ac:dyDescent="0.25">
      <c r="O60" s="8">
        <v>566</v>
      </c>
      <c r="P60" s="7">
        <v>34</v>
      </c>
      <c r="Q60" s="20">
        <v>141.66</v>
      </c>
    </row>
    <row r="61" spans="15:17" x14ac:dyDescent="0.25">
      <c r="O61" s="10">
        <v>576</v>
      </c>
      <c r="P61" s="9">
        <v>34</v>
      </c>
      <c r="Q61" s="21">
        <v>139.66</v>
      </c>
    </row>
    <row r="62" spans="15:17" x14ac:dyDescent="0.25">
      <c r="O62" s="8">
        <v>502</v>
      </c>
      <c r="P62" s="7">
        <v>34</v>
      </c>
      <c r="Q62" s="20">
        <v>138.66</v>
      </c>
    </row>
    <row r="63" spans="15:17" x14ac:dyDescent="0.25">
      <c r="O63" s="10">
        <v>207</v>
      </c>
      <c r="P63" s="9">
        <v>34</v>
      </c>
      <c r="Q63" s="21">
        <v>137.66</v>
      </c>
    </row>
    <row r="64" spans="15:17" x14ac:dyDescent="0.25">
      <c r="O64" s="8">
        <v>168</v>
      </c>
      <c r="P64" s="7">
        <v>34</v>
      </c>
      <c r="Q64" s="20">
        <v>135.66</v>
      </c>
    </row>
    <row r="65" spans="15:17" x14ac:dyDescent="0.25">
      <c r="O65" s="10">
        <v>473</v>
      </c>
      <c r="P65" s="9">
        <v>34</v>
      </c>
      <c r="Q65" s="21">
        <v>134.66</v>
      </c>
    </row>
    <row r="66" spans="15:17" x14ac:dyDescent="0.25">
      <c r="O66" s="8">
        <v>38</v>
      </c>
      <c r="P66" s="7">
        <v>34</v>
      </c>
      <c r="Q66" s="20">
        <v>127.66</v>
      </c>
    </row>
    <row r="67" spans="15:17" x14ac:dyDescent="0.25">
      <c r="O67" s="10">
        <v>147</v>
      </c>
      <c r="P67" s="9">
        <v>34</v>
      </c>
      <c r="Q67" s="21">
        <v>127.66</v>
      </c>
    </row>
    <row r="68" spans="15:17" x14ac:dyDescent="0.25">
      <c r="O68" s="8">
        <v>129</v>
      </c>
      <c r="P68" s="7">
        <v>34</v>
      </c>
      <c r="Q68" s="20">
        <v>124.66</v>
      </c>
    </row>
    <row r="69" spans="15:17" x14ac:dyDescent="0.25">
      <c r="O69" s="10">
        <v>30</v>
      </c>
      <c r="P69" s="9">
        <v>34</v>
      </c>
      <c r="Q69" s="21">
        <v>123.66</v>
      </c>
    </row>
    <row r="70" spans="15:17" x14ac:dyDescent="0.25">
      <c r="O70" s="8">
        <v>241</v>
      </c>
      <c r="P70" s="7">
        <v>34</v>
      </c>
      <c r="Q70" s="20">
        <v>122.66</v>
      </c>
    </row>
    <row r="71" spans="15:17" x14ac:dyDescent="0.25">
      <c r="O71" s="10">
        <v>138</v>
      </c>
      <c r="P71" s="9">
        <v>34</v>
      </c>
      <c r="Q71" s="21">
        <v>110.66</v>
      </c>
    </row>
    <row r="72" spans="15:17" x14ac:dyDescent="0.25">
      <c r="O72" s="8">
        <v>522</v>
      </c>
      <c r="P72" s="7">
        <v>33</v>
      </c>
      <c r="Q72" s="20">
        <v>167.67</v>
      </c>
    </row>
    <row r="73" spans="15:17" x14ac:dyDescent="0.25">
      <c r="O73" s="10">
        <v>462</v>
      </c>
      <c r="P73" s="9">
        <v>33</v>
      </c>
      <c r="Q73" s="21">
        <v>159.66999999999999</v>
      </c>
    </row>
    <row r="74" spans="15:17" x14ac:dyDescent="0.25">
      <c r="O74" s="8">
        <v>390</v>
      </c>
      <c r="P74" s="7">
        <v>33</v>
      </c>
      <c r="Q74" s="20">
        <v>152.66999999999999</v>
      </c>
    </row>
    <row r="75" spans="15:17" x14ac:dyDescent="0.25">
      <c r="O75" s="10">
        <v>7</v>
      </c>
      <c r="P75" s="9">
        <v>33</v>
      </c>
      <c r="Q75" s="21">
        <v>151.66999999999999</v>
      </c>
    </row>
    <row r="76" spans="15:17" x14ac:dyDescent="0.25">
      <c r="O76" s="8">
        <v>454</v>
      </c>
      <c r="P76" s="7">
        <v>33</v>
      </c>
      <c r="Q76" s="20">
        <v>151.66999999999999</v>
      </c>
    </row>
    <row r="77" spans="15:17" x14ac:dyDescent="0.25">
      <c r="O77" s="10">
        <v>86</v>
      </c>
      <c r="P77" s="9">
        <v>33</v>
      </c>
      <c r="Q77" s="21">
        <v>148.66999999999999</v>
      </c>
    </row>
    <row r="78" spans="15:17" x14ac:dyDescent="0.25">
      <c r="O78" s="8">
        <v>172</v>
      </c>
      <c r="P78" s="7">
        <v>33</v>
      </c>
      <c r="Q78" s="20">
        <v>145.66999999999999</v>
      </c>
    </row>
    <row r="79" spans="15:17" x14ac:dyDescent="0.25">
      <c r="O79" s="10">
        <v>237</v>
      </c>
      <c r="P79" s="9">
        <v>33</v>
      </c>
      <c r="Q79" s="21">
        <v>144.66999999999999</v>
      </c>
    </row>
    <row r="80" spans="15:17" x14ac:dyDescent="0.25">
      <c r="O80" s="8">
        <v>84</v>
      </c>
      <c r="P80" s="7">
        <v>33</v>
      </c>
      <c r="Q80" s="20">
        <v>141.66999999999999</v>
      </c>
    </row>
    <row r="81" spans="15:17" x14ac:dyDescent="0.25">
      <c r="O81" s="10">
        <v>533</v>
      </c>
      <c r="P81" s="9">
        <v>33</v>
      </c>
      <c r="Q81" s="21">
        <v>141.66999999999999</v>
      </c>
    </row>
    <row r="82" spans="15:17" x14ac:dyDescent="0.25">
      <c r="O82" s="8">
        <v>114</v>
      </c>
      <c r="P82" s="7">
        <v>33</v>
      </c>
      <c r="Q82" s="20">
        <v>139.66999999999999</v>
      </c>
    </row>
    <row r="83" spans="15:17" x14ac:dyDescent="0.25">
      <c r="O83" s="10">
        <v>51</v>
      </c>
      <c r="P83" s="9">
        <v>33</v>
      </c>
      <c r="Q83" s="21">
        <v>138.66999999999999</v>
      </c>
    </row>
    <row r="84" spans="15:17" x14ac:dyDescent="0.25">
      <c r="O84" s="8">
        <v>102</v>
      </c>
      <c r="P84" s="7">
        <v>33</v>
      </c>
      <c r="Q84" s="20">
        <v>137.66999999999999</v>
      </c>
    </row>
    <row r="85" spans="15:17" x14ac:dyDescent="0.25">
      <c r="O85" s="10">
        <v>438</v>
      </c>
      <c r="P85" s="9">
        <v>33</v>
      </c>
      <c r="Q85" s="21">
        <v>134.66999999999999</v>
      </c>
    </row>
    <row r="86" spans="15:17" x14ac:dyDescent="0.25">
      <c r="O86" s="8">
        <v>314</v>
      </c>
      <c r="P86" s="7">
        <v>33</v>
      </c>
      <c r="Q86" s="20">
        <v>131.66999999999999</v>
      </c>
    </row>
    <row r="87" spans="15:17" x14ac:dyDescent="0.25">
      <c r="O87" s="10">
        <v>297</v>
      </c>
      <c r="P87" s="9">
        <v>33</v>
      </c>
      <c r="Q87" s="21">
        <v>128.66999999999999</v>
      </c>
    </row>
    <row r="88" spans="15:17" x14ac:dyDescent="0.25">
      <c r="O88" s="8">
        <v>451</v>
      </c>
      <c r="P88" s="7">
        <v>33</v>
      </c>
      <c r="Q88" s="20">
        <v>128.66999999999999</v>
      </c>
    </row>
    <row r="89" spans="15:17" x14ac:dyDescent="0.25">
      <c r="O89" s="10">
        <v>230</v>
      </c>
      <c r="P89" s="9">
        <v>33</v>
      </c>
      <c r="Q89" s="21">
        <v>124.67</v>
      </c>
    </row>
    <row r="90" spans="15:17" x14ac:dyDescent="0.25">
      <c r="O90" s="8">
        <v>64</v>
      </c>
      <c r="P90" s="7">
        <v>33</v>
      </c>
      <c r="Q90" s="20">
        <v>100.67</v>
      </c>
    </row>
    <row r="91" spans="15:17" x14ac:dyDescent="0.25">
      <c r="O91" s="10">
        <v>259</v>
      </c>
      <c r="P91" s="9">
        <v>32</v>
      </c>
      <c r="Q91" s="21">
        <v>168.68</v>
      </c>
    </row>
    <row r="92" spans="15:17" x14ac:dyDescent="0.25">
      <c r="O92" s="8">
        <v>209</v>
      </c>
      <c r="P92" s="7">
        <v>32</v>
      </c>
      <c r="Q92" s="20">
        <v>161.68</v>
      </c>
    </row>
    <row r="93" spans="15:17" x14ac:dyDescent="0.25">
      <c r="O93" s="10">
        <v>470</v>
      </c>
      <c r="P93" s="9">
        <v>32</v>
      </c>
      <c r="Q93" s="21">
        <v>160.68</v>
      </c>
    </row>
    <row r="94" spans="15:17" x14ac:dyDescent="0.25">
      <c r="O94" s="8">
        <v>550</v>
      </c>
      <c r="P94" s="7">
        <v>32</v>
      </c>
      <c r="Q94" s="20">
        <v>159.68</v>
      </c>
    </row>
    <row r="95" spans="15:17" x14ac:dyDescent="0.25">
      <c r="O95" s="10">
        <v>346</v>
      </c>
      <c r="P95" s="9">
        <v>32</v>
      </c>
      <c r="Q95" s="21">
        <v>155.68</v>
      </c>
    </row>
    <row r="96" spans="15:17" x14ac:dyDescent="0.25">
      <c r="O96" s="8">
        <v>532</v>
      </c>
      <c r="P96" s="7">
        <v>32</v>
      </c>
      <c r="Q96" s="20">
        <v>152.68</v>
      </c>
    </row>
    <row r="97" spans="15:17" x14ac:dyDescent="0.25">
      <c r="O97" s="10">
        <v>362</v>
      </c>
      <c r="P97" s="9">
        <v>32</v>
      </c>
      <c r="Q97" s="21">
        <v>145.68</v>
      </c>
    </row>
    <row r="98" spans="15:17" x14ac:dyDescent="0.25">
      <c r="O98" s="8">
        <v>277</v>
      </c>
      <c r="P98" s="7">
        <v>32</v>
      </c>
      <c r="Q98" s="20">
        <v>144.68</v>
      </c>
    </row>
    <row r="99" spans="15:17" x14ac:dyDescent="0.25">
      <c r="O99" s="10">
        <v>120</v>
      </c>
      <c r="P99" s="9">
        <v>32</v>
      </c>
      <c r="Q99" s="21">
        <v>143.68</v>
      </c>
    </row>
    <row r="100" spans="15:17" x14ac:dyDescent="0.25">
      <c r="O100" s="8">
        <v>242</v>
      </c>
      <c r="P100" s="7">
        <v>32</v>
      </c>
      <c r="Q100" s="20">
        <v>140.68</v>
      </c>
    </row>
    <row r="101" spans="15:17" x14ac:dyDescent="0.25">
      <c r="O101" s="10">
        <v>306</v>
      </c>
      <c r="P101" s="9">
        <v>32</v>
      </c>
      <c r="Q101" s="21">
        <v>138.68</v>
      </c>
    </row>
    <row r="102" spans="15:17" x14ac:dyDescent="0.25">
      <c r="O102" s="8">
        <v>125</v>
      </c>
      <c r="P102" s="7">
        <v>32</v>
      </c>
      <c r="Q102" s="20">
        <v>135.68</v>
      </c>
    </row>
    <row r="103" spans="15:17" x14ac:dyDescent="0.25">
      <c r="O103" s="10">
        <v>535</v>
      </c>
      <c r="P103" s="9">
        <v>32</v>
      </c>
      <c r="Q103" s="21">
        <v>135.68</v>
      </c>
    </row>
    <row r="104" spans="15:17" x14ac:dyDescent="0.25">
      <c r="O104" s="8">
        <v>15</v>
      </c>
      <c r="P104" s="7">
        <v>32</v>
      </c>
      <c r="Q104" s="20">
        <v>134.68</v>
      </c>
    </row>
    <row r="105" spans="15:17" x14ac:dyDescent="0.25">
      <c r="O105" s="10">
        <v>89</v>
      </c>
      <c r="P105" s="9">
        <v>32</v>
      </c>
      <c r="Q105" s="21">
        <v>134.68</v>
      </c>
    </row>
    <row r="106" spans="15:17" x14ac:dyDescent="0.25">
      <c r="O106" s="8">
        <v>520</v>
      </c>
      <c r="P106" s="7">
        <v>32</v>
      </c>
      <c r="Q106" s="20">
        <v>134.68</v>
      </c>
    </row>
    <row r="107" spans="15:17" x14ac:dyDescent="0.25">
      <c r="O107" s="10">
        <v>569</v>
      </c>
      <c r="P107" s="9">
        <v>32</v>
      </c>
      <c r="Q107" s="21">
        <v>134.68</v>
      </c>
    </row>
    <row r="108" spans="15:17" x14ac:dyDescent="0.25">
      <c r="O108" s="8">
        <v>245</v>
      </c>
      <c r="P108" s="7">
        <v>32</v>
      </c>
      <c r="Q108" s="20">
        <v>132.68</v>
      </c>
    </row>
    <row r="109" spans="15:17" x14ac:dyDescent="0.25">
      <c r="O109" s="10">
        <v>141</v>
      </c>
      <c r="P109" s="9">
        <v>32</v>
      </c>
      <c r="Q109" s="21">
        <v>130.68</v>
      </c>
    </row>
    <row r="110" spans="15:17" x14ac:dyDescent="0.25">
      <c r="O110" s="8">
        <v>342</v>
      </c>
      <c r="P110" s="7">
        <v>32</v>
      </c>
      <c r="Q110" s="20">
        <v>130.68</v>
      </c>
    </row>
    <row r="111" spans="15:17" x14ac:dyDescent="0.25">
      <c r="O111" s="10">
        <v>35</v>
      </c>
      <c r="P111" s="9">
        <v>32</v>
      </c>
      <c r="Q111" s="21">
        <v>129.68</v>
      </c>
    </row>
    <row r="112" spans="15:17" x14ac:dyDescent="0.25">
      <c r="O112" s="8">
        <v>244</v>
      </c>
      <c r="P112" s="7">
        <v>32</v>
      </c>
      <c r="Q112" s="20">
        <v>129.68</v>
      </c>
    </row>
    <row r="113" spans="15:17" x14ac:dyDescent="0.25">
      <c r="O113" s="10">
        <v>128</v>
      </c>
      <c r="P113" s="9">
        <v>32</v>
      </c>
      <c r="Q113" s="21">
        <v>127.68</v>
      </c>
    </row>
    <row r="114" spans="15:17" x14ac:dyDescent="0.25">
      <c r="O114" s="8">
        <v>329</v>
      </c>
      <c r="P114" s="7">
        <v>32</v>
      </c>
      <c r="Q114" s="20">
        <v>127.68</v>
      </c>
    </row>
    <row r="115" spans="15:17" x14ac:dyDescent="0.25">
      <c r="O115" s="10">
        <v>122</v>
      </c>
      <c r="P115" s="9">
        <v>32</v>
      </c>
      <c r="Q115" s="21">
        <v>126.68</v>
      </c>
    </row>
    <row r="116" spans="15:17" x14ac:dyDescent="0.25">
      <c r="O116" s="8">
        <v>158</v>
      </c>
      <c r="P116" s="7">
        <v>32</v>
      </c>
      <c r="Q116" s="20">
        <v>126.68</v>
      </c>
    </row>
    <row r="117" spans="15:17" x14ac:dyDescent="0.25">
      <c r="O117" s="10">
        <v>406</v>
      </c>
      <c r="P117" s="9">
        <v>32</v>
      </c>
      <c r="Q117" s="21">
        <v>122.68</v>
      </c>
    </row>
    <row r="118" spans="15:17" x14ac:dyDescent="0.25">
      <c r="O118" s="8">
        <v>167</v>
      </c>
      <c r="P118" s="7">
        <v>32</v>
      </c>
      <c r="Q118" s="20">
        <v>119.68</v>
      </c>
    </row>
    <row r="119" spans="15:17" x14ac:dyDescent="0.25">
      <c r="O119" s="10">
        <v>1</v>
      </c>
      <c r="P119" s="9">
        <v>32</v>
      </c>
      <c r="Q119" s="21">
        <v>118.68</v>
      </c>
    </row>
    <row r="120" spans="15:17" x14ac:dyDescent="0.25">
      <c r="O120" s="8">
        <v>442</v>
      </c>
      <c r="P120" s="7">
        <v>32</v>
      </c>
      <c r="Q120" s="20">
        <v>118.68</v>
      </c>
    </row>
    <row r="121" spans="15:17" x14ac:dyDescent="0.25">
      <c r="O121" s="10">
        <v>254</v>
      </c>
      <c r="P121" s="9">
        <v>32</v>
      </c>
      <c r="Q121" s="21">
        <v>116.68</v>
      </c>
    </row>
    <row r="122" spans="15:17" x14ac:dyDescent="0.25">
      <c r="O122" s="8">
        <v>503</v>
      </c>
      <c r="P122" s="7">
        <v>32</v>
      </c>
      <c r="Q122" s="20">
        <v>115.68</v>
      </c>
    </row>
    <row r="123" spans="15:17" x14ac:dyDescent="0.25">
      <c r="O123" s="10">
        <v>28</v>
      </c>
      <c r="P123" s="9">
        <v>32</v>
      </c>
      <c r="Q123" s="21">
        <v>111.68</v>
      </c>
    </row>
    <row r="124" spans="15:17" x14ac:dyDescent="0.25">
      <c r="O124" s="8">
        <v>405</v>
      </c>
      <c r="P124" s="7">
        <v>32</v>
      </c>
      <c r="Q124" s="20">
        <v>109.68</v>
      </c>
    </row>
    <row r="125" spans="15:17" x14ac:dyDescent="0.25">
      <c r="O125" s="10">
        <v>452</v>
      </c>
      <c r="P125" s="9">
        <v>32</v>
      </c>
      <c r="Q125" s="21">
        <v>107.68</v>
      </c>
    </row>
    <row r="126" spans="15:17" x14ac:dyDescent="0.25">
      <c r="O126" s="8">
        <v>293</v>
      </c>
      <c r="P126" s="7">
        <v>31</v>
      </c>
      <c r="Q126" s="20">
        <v>158.69</v>
      </c>
    </row>
    <row r="127" spans="15:17" x14ac:dyDescent="0.25">
      <c r="O127" s="10">
        <v>513</v>
      </c>
      <c r="P127" s="9">
        <v>31</v>
      </c>
      <c r="Q127" s="21">
        <v>148.69</v>
      </c>
    </row>
    <row r="128" spans="15:17" x14ac:dyDescent="0.25">
      <c r="O128" s="8">
        <v>309</v>
      </c>
      <c r="P128" s="7">
        <v>31</v>
      </c>
      <c r="Q128" s="20">
        <v>147.69</v>
      </c>
    </row>
    <row r="129" spans="15:17" x14ac:dyDescent="0.25">
      <c r="O129" s="10">
        <v>103</v>
      </c>
      <c r="P129" s="9">
        <v>31</v>
      </c>
      <c r="Q129" s="21">
        <v>146.69</v>
      </c>
    </row>
    <row r="130" spans="15:17" x14ac:dyDescent="0.25">
      <c r="O130" s="8">
        <v>479</v>
      </c>
      <c r="P130" s="7">
        <v>31</v>
      </c>
      <c r="Q130" s="20">
        <v>146.69</v>
      </c>
    </row>
    <row r="131" spans="15:17" x14ac:dyDescent="0.25">
      <c r="O131" s="10">
        <v>78</v>
      </c>
      <c r="P131" s="9">
        <v>31</v>
      </c>
      <c r="Q131" s="21">
        <v>141.69</v>
      </c>
    </row>
    <row r="132" spans="15:17" x14ac:dyDescent="0.25">
      <c r="O132" s="8">
        <v>494</v>
      </c>
      <c r="P132" s="7">
        <v>31</v>
      </c>
      <c r="Q132" s="20">
        <v>140.69</v>
      </c>
    </row>
    <row r="133" spans="15:17" x14ac:dyDescent="0.25">
      <c r="O133" s="10">
        <v>210</v>
      </c>
      <c r="P133" s="9">
        <v>31</v>
      </c>
      <c r="Q133" s="21">
        <v>137.69</v>
      </c>
    </row>
    <row r="134" spans="15:17" x14ac:dyDescent="0.25">
      <c r="O134" s="8">
        <v>300</v>
      </c>
      <c r="P134" s="7">
        <v>31</v>
      </c>
      <c r="Q134" s="20">
        <v>137.69</v>
      </c>
    </row>
    <row r="135" spans="15:17" x14ac:dyDescent="0.25">
      <c r="O135" s="10">
        <v>279</v>
      </c>
      <c r="P135" s="9">
        <v>31</v>
      </c>
      <c r="Q135" s="21">
        <v>135.69</v>
      </c>
    </row>
    <row r="136" spans="15:17" x14ac:dyDescent="0.25">
      <c r="O136" s="8">
        <v>27</v>
      </c>
      <c r="P136" s="7">
        <v>31</v>
      </c>
      <c r="Q136" s="20">
        <v>126.69</v>
      </c>
    </row>
    <row r="137" spans="15:17" x14ac:dyDescent="0.25">
      <c r="O137" s="10">
        <v>260</v>
      </c>
      <c r="P137" s="9">
        <v>31</v>
      </c>
      <c r="Q137" s="21">
        <v>122.69</v>
      </c>
    </row>
    <row r="138" spans="15:17" x14ac:dyDescent="0.25">
      <c r="O138" s="8">
        <v>393</v>
      </c>
      <c r="P138" s="7">
        <v>31</v>
      </c>
      <c r="Q138" s="20">
        <v>121.69</v>
      </c>
    </row>
    <row r="139" spans="15:17" x14ac:dyDescent="0.25">
      <c r="O139" s="10">
        <v>416</v>
      </c>
      <c r="P139" s="9">
        <v>31</v>
      </c>
      <c r="Q139" s="21">
        <v>121.69</v>
      </c>
    </row>
    <row r="140" spans="15:17" x14ac:dyDescent="0.25">
      <c r="O140" s="8">
        <v>251</v>
      </c>
      <c r="P140" s="7">
        <v>31</v>
      </c>
      <c r="Q140" s="20">
        <v>120.69</v>
      </c>
    </row>
    <row r="141" spans="15:17" x14ac:dyDescent="0.25">
      <c r="O141" s="10">
        <v>340</v>
      </c>
      <c r="P141" s="9">
        <v>31</v>
      </c>
      <c r="Q141" s="21">
        <v>119.69</v>
      </c>
    </row>
    <row r="142" spans="15:17" x14ac:dyDescent="0.25">
      <c r="O142" s="8">
        <v>214</v>
      </c>
      <c r="P142" s="7">
        <v>31</v>
      </c>
      <c r="Q142" s="20">
        <v>116.69</v>
      </c>
    </row>
    <row r="143" spans="15:17" x14ac:dyDescent="0.25">
      <c r="O143" s="10">
        <v>446</v>
      </c>
      <c r="P143" s="9">
        <v>31</v>
      </c>
      <c r="Q143" s="21">
        <v>116.69</v>
      </c>
    </row>
    <row r="144" spans="15:17" x14ac:dyDescent="0.25">
      <c r="O144" s="8">
        <v>186</v>
      </c>
      <c r="P144" s="7">
        <v>31</v>
      </c>
      <c r="Q144" s="20">
        <v>114.69</v>
      </c>
    </row>
    <row r="145" spans="15:17" x14ac:dyDescent="0.25">
      <c r="O145" s="10">
        <v>323</v>
      </c>
      <c r="P145" s="9">
        <v>31</v>
      </c>
      <c r="Q145" s="21">
        <v>114.69</v>
      </c>
    </row>
    <row r="146" spans="15:17" x14ac:dyDescent="0.25">
      <c r="O146" s="8">
        <v>157</v>
      </c>
      <c r="P146" s="7">
        <v>31</v>
      </c>
      <c r="Q146" s="20">
        <v>113.69</v>
      </c>
    </row>
    <row r="147" spans="15:17" x14ac:dyDescent="0.25">
      <c r="O147" s="10">
        <v>361</v>
      </c>
      <c r="P147" s="9">
        <v>31</v>
      </c>
      <c r="Q147" s="21">
        <v>100.69</v>
      </c>
    </row>
    <row r="148" spans="15:17" x14ac:dyDescent="0.25">
      <c r="O148" s="8">
        <v>72</v>
      </c>
      <c r="P148" s="7">
        <v>30</v>
      </c>
      <c r="Q148" s="20">
        <v>99.7</v>
      </c>
    </row>
    <row r="149" spans="15:17" x14ac:dyDescent="0.25">
      <c r="O149" s="10">
        <v>115</v>
      </c>
      <c r="P149" s="9">
        <v>30</v>
      </c>
      <c r="Q149" s="21">
        <v>91.7</v>
      </c>
    </row>
    <row r="150" spans="15:17" x14ac:dyDescent="0.25">
      <c r="O150" s="8">
        <v>87</v>
      </c>
      <c r="P150" s="7">
        <v>30</v>
      </c>
      <c r="Q150" s="20">
        <v>145.69999999999999</v>
      </c>
    </row>
    <row r="151" spans="15:17" x14ac:dyDescent="0.25">
      <c r="O151" s="10">
        <v>436</v>
      </c>
      <c r="P151" s="9">
        <v>30</v>
      </c>
      <c r="Q151" s="21">
        <v>144.69999999999999</v>
      </c>
    </row>
    <row r="152" spans="15:17" x14ac:dyDescent="0.25">
      <c r="O152" s="8">
        <v>289</v>
      </c>
      <c r="P152" s="7">
        <v>30</v>
      </c>
      <c r="Q152" s="20">
        <v>142.69999999999999</v>
      </c>
    </row>
    <row r="153" spans="15:17" x14ac:dyDescent="0.25">
      <c r="O153" s="10">
        <v>347</v>
      </c>
      <c r="P153" s="9">
        <v>30</v>
      </c>
      <c r="Q153" s="21">
        <v>142.69999999999999</v>
      </c>
    </row>
    <row r="154" spans="15:17" x14ac:dyDescent="0.25">
      <c r="O154" s="8">
        <v>472</v>
      </c>
      <c r="P154" s="7">
        <v>30</v>
      </c>
      <c r="Q154" s="20">
        <v>141.69999999999999</v>
      </c>
    </row>
    <row r="155" spans="15:17" x14ac:dyDescent="0.25">
      <c r="O155" s="10">
        <v>404</v>
      </c>
      <c r="P155" s="9">
        <v>30</v>
      </c>
      <c r="Q155" s="21">
        <v>139.69999999999999</v>
      </c>
    </row>
    <row r="156" spans="15:17" x14ac:dyDescent="0.25">
      <c r="O156" s="8">
        <v>484</v>
      </c>
      <c r="P156" s="7">
        <v>30</v>
      </c>
      <c r="Q156" s="20">
        <v>139.69999999999999</v>
      </c>
    </row>
    <row r="157" spans="15:17" x14ac:dyDescent="0.25">
      <c r="O157" s="10">
        <v>80</v>
      </c>
      <c r="P157" s="9">
        <v>30</v>
      </c>
      <c r="Q157" s="21">
        <v>137.69999999999999</v>
      </c>
    </row>
    <row r="158" spans="15:17" x14ac:dyDescent="0.25">
      <c r="O158" s="8">
        <v>56</v>
      </c>
      <c r="P158" s="7">
        <v>30</v>
      </c>
      <c r="Q158" s="20">
        <v>135.69999999999999</v>
      </c>
    </row>
    <row r="159" spans="15:17" x14ac:dyDescent="0.25">
      <c r="O159" s="10">
        <v>334</v>
      </c>
      <c r="P159" s="9">
        <v>30</v>
      </c>
      <c r="Q159" s="21">
        <v>135.69999999999999</v>
      </c>
    </row>
    <row r="160" spans="15:17" x14ac:dyDescent="0.25">
      <c r="O160" s="8">
        <v>307</v>
      </c>
      <c r="P160" s="7">
        <v>30</v>
      </c>
      <c r="Q160" s="20">
        <v>134.69999999999999</v>
      </c>
    </row>
    <row r="161" spans="15:17" x14ac:dyDescent="0.25">
      <c r="O161" s="10">
        <v>112</v>
      </c>
      <c r="P161" s="9">
        <v>30</v>
      </c>
      <c r="Q161" s="21">
        <v>133.69999999999999</v>
      </c>
    </row>
    <row r="162" spans="15:17" x14ac:dyDescent="0.25">
      <c r="O162" s="8">
        <v>108</v>
      </c>
      <c r="P162" s="7">
        <v>30</v>
      </c>
      <c r="Q162" s="20">
        <v>132.69999999999999</v>
      </c>
    </row>
    <row r="163" spans="15:17" x14ac:dyDescent="0.25">
      <c r="O163" s="10">
        <v>319</v>
      </c>
      <c r="P163" s="9">
        <v>30</v>
      </c>
      <c r="Q163" s="21">
        <v>132.69999999999999</v>
      </c>
    </row>
    <row r="164" spans="15:17" x14ac:dyDescent="0.25">
      <c r="O164" s="8">
        <v>560</v>
      </c>
      <c r="P164" s="7">
        <v>30</v>
      </c>
      <c r="Q164" s="20">
        <v>132.69999999999999</v>
      </c>
    </row>
    <row r="165" spans="15:17" x14ac:dyDescent="0.25">
      <c r="O165" s="10">
        <v>299</v>
      </c>
      <c r="P165" s="9">
        <v>30</v>
      </c>
      <c r="Q165" s="21">
        <v>131.69999999999999</v>
      </c>
    </row>
    <row r="166" spans="15:17" x14ac:dyDescent="0.25">
      <c r="O166" s="8">
        <v>154</v>
      </c>
      <c r="P166" s="7">
        <v>30</v>
      </c>
      <c r="Q166" s="20">
        <v>130.69999999999999</v>
      </c>
    </row>
    <row r="167" spans="15:17" x14ac:dyDescent="0.25">
      <c r="O167" s="10">
        <v>71</v>
      </c>
      <c r="P167" s="9">
        <v>30</v>
      </c>
      <c r="Q167" s="21">
        <v>129.69999999999999</v>
      </c>
    </row>
    <row r="168" spans="15:17" x14ac:dyDescent="0.25">
      <c r="O168" s="8">
        <v>269</v>
      </c>
      <c r="P168" s="7">
        <v>30</v>
      </c>
      <c r="Q168" s="20">
        <v>129.69999999999999</v>
      </c>
    </row>
    <row r="169" spans="15:17" x14ac:dyDescent="0.25">
      <c r="O169" s="10">
        <v>296</v>
      </c>
      <c r="P169" s="9">
        <v>30</v>
      </c>
      <c r="Q169" s="21">
        <v>129.69999999999999</v>
      </c>
    </row>
    <row r="170" spans="15:17" x14ac:dyDescent="0.25">
      <c r="O170" s="8">
        <v>584</v>
      </c>
      <c r="P170" s="7">
        <v>30</v>
      </c>
      <c r="Q170" s="20">
        <v>129.69999999999999</v>
      </c>
    </row>
    <row r="171" spans="15:17" x14ac:dyDescent="0.25">
      <c r="O171" s="10">
        <v>131</v>
      </c>
      <c r="P171" s="9">
        <v>30</v>
      </c>
      <c r="Q171" s="21">
        <v>128.69999999999999</v>
      </c>
    </row>
    <row r="172" spans="15:17" x14ac:dyDescent="0.25">
      <c r="O172" s="8">
        <v>339</v>
      </c>
      <c r="P172" s="7">
        <v>30</v>
      </c>
      <c r="Q172" s="20">
        <v>127.7</v>
      </c>
    </row>
    <row r="173" spans="15:17" x14ac:dyDescent="0.25">
      <c r="O173" s="10">
        <v>107</v>
      </c>
      <c r="P173" s="9">
        <v>30</v>
      </c>
      <c r="Q173" s="21">
        <v>126.7</v>
      </c>
    </row>
    <row r="174" spans="15:17" x14ac:dyDescent="0.25">
      <c r="O174" s="8">
        <v>388</v>
      </c>
      <c r="P174" s="7">
        <v>30</v>
      </c>
      <c r="Q174" s="20">
        <v>124.7</v>
      </c>
    </row>
    <row r="175" spans="15:17" x14ac:dyDescent="0.25">
      <c r="O175" s="10">
        <v>499</v>
      </c>
      <c r="P175" s="9">
        <v>30</v>
      </c>
      <c r="Q175" s="21">
        <v>123.7</v>
      </c>
    </row>
    <row r="176" spans="15:17" x14ac:dyDescent="0.25">
      <c r="O176" s="8">
        <v>356</v>
      </c>
      <c r="P176" s="7">
        <v>30</v>
      </c>
      <c r="Q176" s="20">
        <v>121.7</v>
      </c>
    </row>
    <row r="177" spans="15:17" x14ac:dyDescent="0.25">
      <c r="O177" s="10">
        <v>23</v>
      </c>
      <c r="P177" s="9">
        <v>30</v>
      </c>
      <c r="Q177" s="21">
        <v>119.7</v>
      </c>
    </row>
    <row r="178" spans="15:17" x14ac:dyDescent="0.25">
      <c r="O178" s="8">
        <v>336</v>
      </c>
      <c r="P178" s="7">
        <v>30</v>
      </c>
      <c r="Q178" s="20">
        <v>119.7</v>
      </c>
    </row>
    <row r="179" spans="15:17" x14ac:dyDescent="0.25">
      <c r="O179" s="10">
        <v>42</v>
      </c>
      <c r="P179" s="9">
        <v>30</v>
      </c>
      <c r="Q179" s="21">
        <v>117.7</v>
      </c>
    </row>
    <row r="180" spans="15:17" x14ac:dyDescent="0.25">
      <c r="O180" s="8">
        <v>595</v>
      </c>
      <c r="P180" s="7">
        <v>30</v>
      </c>
      <c r="Q180" s="20">
        <v>117.7</v>
      </c>
    </row>
    <row r="181" spans="15:17" x14ac:dyDescent="0.25">
      <c r="O181" s="10">
        <v>408</v>
      </c>
      <c r="P181" s="9">
        <v>30</v>
      </c>
      <c r="Q181" s="21">
        <v>116.7</v>
      </c>
    </row>
    <row r="182" spans="15:17" x14ac:dyDescent="0.25">
      <c r="O182" s="8">
        <v>20</v>
      </c>
      <c r="P182" s="7">
        <v>30</v>
      </c>
      <c r="Q182" s="20">
        <v>115.7</v>
      </c>
    </row>
    <row r="183" spans="15:17" x14ac:dyDescent="0.25">
      <c r="O183" s="10">
        <v>53</v>
      </c>
      <c r="P183" s="9">
        <v>30</v>
      </c>
      <c r="Q183" s="21">
        <v>115.7</v>
      </c>
    </row>
    <row r="184" spans="15:17" x14ac:dyDescent="0.25">
      <c r="O184" s="8">
        <v>444</v>
      </c>
      <c r="P184" s="7">
        <v>30</v>
      </c>
      <c r="Q184" s="20">
        <v>115.7</v>
      </c>
    </row>
    <row r="185" spans="15:17" x14ac:dyDescent="0.25">
      <c r="O185" s="10">
        <v>161</v>
      </c>
      <c r="P185" s="9">
        <v>30</v>
      </c>
      <c r="Q185" s="21">
        <v>112.7</v>
      </c>
    </row>
    <row r="186" spans="15:17" x14ac:dyDescent="0.25">
      <c r="O186" s="8">
        <v>256</v>
      </c>
      <c r="P186" s="7">
        <v>30</v>
      </c>
      <c r="Q186" s="20">
        <v>112.7</v>
      </c>
    </row>
    <row r="187" spans="15:17" x14ac:dyDescent="0.25">
      <c r="O187" s="10">
        <v>135</v>
      </c>
      <c r="P187" s="9">
        <v>30</v>
      </c>
      <c r="Q187" s="21">
        <v>110.7</v>
      </c>
    </row>
    <row r="188" spans="15:17" x14ac:dyDescent="0.25">
      <c r="O188" s="8">
        <v>424</v>
      </c>
      <c r="P188" s="7">
        <v>30</v>
      </c>
      <c r="Q188" s="20">
        <v>110.7</v>
      </c>
    </row>
    <row r="189" spans="15:17" x14ac:dyDescent="0.25">
      <c r="O189" s="10">
        <v>275</v>
      </c>
      <c r="P189" s="9">
        <v>30</v>
      </c>
      <c r="Q189" s="21">
        <v>108.7</v>
      </c>
    </row>
    <row r="190" spans="15:17" x14ac:dyDescent="0.25">
      <c r="O190" s="8">
        <v>418</v>
      </c>
      <c r="P190" s="7">
        <v>30</v>
      </c>
      <c r="Q190" s="20">
        <v>107.7</v>
      </c>
    </row>
    <row r="191" spans="15:17" x14ac:dyDescent="0.25">
      <c r="O191" s="10">
        <v>391</v>
      </c>
      <c r="P191" s="9">
        <v>30</v>
      </c>
      <c r="Q191" s="21">
        <v>104.7</v>
      </c>
    </row>
    <row r="192" spans="15:17" x14ac:dyDescent="0.25">
      <c r="O192" s="8">
        <v>337</v>
      </c>
      <c r="P192" s="7">
        <v>29</v>
      </c>
      <c r="Q192" s="20">
        <v>143.71</v>
      </c>
    </row>
    <row r="193" spans="15:17" x14ac:dyDescent="0.25">
      <c r="O193" s="10">
        <v>363</v>
      </c>
      <c r="P193" s="9">
        <v>29</v>
      </c>
      <c r="Q193" s="21">
        <v>143.71</v>
      </c>
    </row>
    <row r="194" spans="15:17" x14ac:dyDescent="0.25">
      <c r="O194" s="8">
        <v>39</v>
      </c>
      <c r="P194" s="7">
        <v>29</v>
      </c>
      <c r="Q194" s="20">
        <v>141.71</v>
      </c>
    </row>
    <row r="195" spans="15:17" x14ac:dyDescent="0.25">
      <c r="O195" s="10">
        <v>146</v>
      </c>
      <c r="P195" s="9">
        <v>29</v>
      </c>
      <c r="Q195" s="21">
        <v>139.71</v>
      </c>
    </row>
    <row r="196" spans="15:17" x14ac:dyDescent="0.25">
      <c r="O196" s="8">
        <v>467</v>
      </c>
      <c r="P196" s="7">
        <v>29</v>
      </c>
      <c r="Q196" s="20">
        <v>139.71</v>
      </c>
    </row>
    <row r="197" spans="15:17" x14ac:dyDescent="0.25">
      <c r="O197" s="10">
        <v>349</v>
      </c>
      <c r="P197" s="9">
        <v>29</v>
      </c>
      <c r="Q197" s="21">
        <v>138.71</v>
      </c>
    </row>
    <row r="198" spans="15:17" x14ac:dyDescent="0.25">
      <c r="O198" s="8">
        <v>482</v>
      </c>
      <c r="P198" s="7">
        <v>29</v>
      </c>
      <c r="Q198" s="20">
        <v>138.71</v>
      </c>
    </row>
    <row r="199" spans="15:17" x14ac:dyDescent="0.25">
      <c r="O199" s="10">
        <v>448</v>
      </c>
      <c r="P199" s="9">
        <v>29</v>
      </c>
      <c r="Q199" s="21">
        <v>135.71</v>
      </c>
    </row>
    <row r="200" spans="15:17" x14ac:dyDescent="0.25">
      <c r="O200" s="8">
        <v>179</v>
      </c>
      <c r="P200" s="7">
        <v>29</v>
      </c>
      <c r="Q200" s="20">
        <v>133.71</v>
      </c>
    </row>
    <row r="201" spans="15:17" x14ac:dyDescent="0.25">
      <c r="O201" s="10">
        <v>265</v>
      </c>
      <c r="P201" s="9">
        <v>29</v>
      </c>
      <c r="Q201" s="21">
        <v>133.71</v>
      </c>
    </row>
    <row r="202" spans="15:17" x14ac:dyDescent="0.25">
      <c r="O202" s="8">
        <v>316</v>
      </c>
      <c r="P202" s="7">
        <v>29</v>
      </c>
      <c r="Q202" s="20">
        <v>132.71</v>
      </c>
    </row>
    <row r="203" spans="15:17" x14ac:dyDescent="0.25">
      <c r="O203" s="10">
        <v>54</v>
      </c>
      <c r="P203" s="9">
        <v>29</v>
      </c>
      <c r="Q203" s="21">
        <v>128.71</v>
      </c>
    </row>
    <row r="204" spans="15:17" x14ac:dyDescent="0.25">
      <c r="O204" s="8">
        <v>32</v>
      </c>
      <c r="P204" s="7">
        <v>29</v>
      </c>
      <c r="Q204" s="20">
        <v>127.71</v>
      </c>
    </row>
    <row r="205" spans="15:17" x14ac:dyDescent="0.25">
      <c r="O205" s="10">
        <v>253</v>
      </c>
      <c r="P205" s="9">
        <v>29</v>
      </c>
      <c r="Q205" s="21">
        <v>127.71</v>
      </c>
    </row>
    <row r="206" spans="15:17" x14ac:dyDescent="0.25">
      <c r="O206" s="8">
        <v>302</v>
      </c>
      <c r="P206" s="7">
        <v>29</v>
      </c>
      <c r="Q206" s="20">
        <v>127.71</v>
      </c>
    </row>
    <row r="207" spans="15:17" x14ac:dyDescent="0.25">
      <c r="O207" s="10">
        <v>565</v>
      </c>
      <c r="P207" s="9">
        <v>29</v>
      </c>
      <c r="Q207" s="21">
        <v>126.71</v>
      </c>
    </row>
    <row r="208" spans="15:17" x14ac:dyDescent="0.25">
      <c r="O208" s="8">
        <v>575</v>
      </c>
      <c r="P208" s="7">
        <v>29</v>
      </c>
      <c r="Q208" s="20">
        <v>126.71</v>
      </c>
    </row>
    <row r="209" spans="15:17" x14ac:dyDescent="0.25">
      <c r="O209" s="10">
        <v>268</v>
      </c>
      <c r="P209" s="9">
        <v>29</v>
      </c>
      <c r="Q209" s="21">
        <v>123.71</v>
      </c>
    </row>
    <row r="210" spans="15:17" x14ac:dyDescent="0.25">
      <c r="O210" s="8">
        <v>163</v>
      </c>
      <c r="P210" s="7">
        <v>29</v>
      </c>
      <c r="Q210" s="20">
        <v>122.71</v>
      </c>
    </row>
    <row r="211" spans="15:17" x14ac:dyDescent="0.25">
      <c r="O211" s="10">
        <v>263</v>
      </c>
      <c r="P211" s="9">
        <v>29</v>
      </c>
      <c r="Q211" s="21">
        <v>122.71</v>
      </c>
    </row>
    <row r="212" spans="15:17" x14ac:dyDescent="0.25">
      <c r="O212" s="8">
        <v>573</v>
      </c>
      <c r="P212" s="7">
        <v>29</v>
      </c>
      <c r="Q212" s="20">
        <v>120.71</v>
      </c>
    </row>
    <row r="213" spans="15:17" x14ac:dyDescent="0.25">
      <c r="O213" s="10">
        <v>173</v>
      </c>
      <c r="P213" s="9">
        <v>29</v>
      </c>
      <c r="Q213" s="21">
        <v>119.71</v>
      </c>
    </row>
    <row r="214" spans="15:17" x14ac:dyDescent="0.25">
      <c r="O214" s="8">
        <v>529</v>
      </c>
      <c r="P214" s="7">
        <v>29</v>
      </c>
      <c r="Q214" s="20">
        <v>118.71</v>
      </c>
    </row>
    <row r="215" spans="15:17" x14ac:dyDescent="0.25">
      <c r="O215" s="10">
        <v>386</v>
      </c>
      <c r="P215" s="9">
        <v>29</v>
      </c>
      <c r="Q215" s="21">
        <v>117.71</v>
      </c>
    </row>
    <row r="216" spans="15:17" x14ac:dyDescent="0.25">
      <c r="O216" s="8">
        <v>538</v>
      </c>
      <c r="P216" s="7">
        <v>29</v>
      </c>
      <c r="Q216" s="20">
        <v>117.71</v>
      </c>
    </row>
    <row r="217" spans="15:17" x14ac:dyDescent="0.25">
      <c r="O217" s="10">
        <v>25</v>
      </c>
      <c r="P217" s="9">
        <v>29</v>
      </c>
      <c r="Q217" s="21">
        <v>115.71</v>
      </c>
    </row>
    <row r="218" spans="15:17" x14ac:dyDescent="0.25">
      <c r="O218" s="8">
        <v>287</v>
      </c>
      <c r="P218" s="7">
        <v>29</v>
      </c>
      <c r="Q218" s="20">
        <v>115.71</v>
      </c>
    </row>
    <row r="219" spans="15:17" x14ac:dyDescent="0.25">
      <c r="O219" s="10">
        <v>481</v>
      </c>
      <c r="P219" s="9">
        <v>29</v>
      </c>
      <c r="Q219" s="21">
        <v>115.71</v>
      </c>
    </row>
    <row r="220" spans="15:17" x14ac:dyDescent="0.25">
      <c r="O220" s="8">
        <v>485</v>
      </c>
      <c r="P220" s="7">
        <v>29</v>
      </c>
      <c r="Q220" s="20">
        <v>115.71</v>
      </c>
    </row>
    <row r="221" spans="15:17" x14ac:dyDescent="0.25">
      <c r="O221" s="10">
        <v>588</v>
      </c>
      <c r="P221" s="9">
        <v>29</v>
      </c>
      <c r="Q221" s="21">
        <v>115.71</v>
      </c>
    </row>
    <row r="222" spans="15:17" x14ac:dyDescent="0.25">
      <c r="O222" s="8">
        <v>113</v>
      </c>
      <c r="P222" s="7">
        <v>29</v>
      </c>
      <c r="Q222" s="20">
        <v>113.71</v>
      </c>
    </row>
    <row r="223" spans="15:17" x14ac:dyDescent="0.25">
      <c r="O223" s="10">
        <v>447</v>
      </c>
      <c r="P223" s="9">
        <v>29</v>
      </c>
      <c r="Q223" s="21">
        <v>113.71</v>
      </c>
    </row>
    <row r="224" spans="15:17" x14ac:dyDescent="0.25">
      <c r="O224" s="8">
        <v>592</v>
      </c>
      <c r="P224" s="7">
        <v>29</v>
      </c>
      <c r="Q224" s="20">
        <v>111.71</v>
      </c>
    </row>
    <row r="225" spans="15:17" x14ac:dyDescent="0.25">
      <c r="O225" s="10">
        <v>563</v>
      </c>
      <c r="P225" s="9">
        <v>29</v>
      </c>
      <c r="Q225" s="21">
        <v>110.71</v>
      </c>
    </row>
    <row r="226" spans="15:17" x14ac:dyDescent="0.25">
      <c r="O226" s="8">
        <v>52</v>
      </c>
      <c r="P226" s="7">
        <v>29</v>
      </c>
      <c r="Q226" s="20">
        <v>107.71</v>
      </c>
    </row>
    <row r="227" spans="15:17" x14ac:dyDescent="0.25">
      <c r="O227" s="10">
        <v>397</v>
      </c>
      <c r="P227" s="9">
        <v>29</v>
      </c>
      <c r="Q227" s="21">
        <v>105.71</v>
      </c>
    </row>
    <row r="228" spans="15:17" x14ac:dyDescent="0.25">
      <c r="O228" s="8">
        <v>461</v>
      </c>
      <c r="P228" s="7">
        <v>28</v>
      </c>
      <c r="Q228" s="20">
        <v>97.72</v>
      </c>
    </row>
    <row r="229" spans="15:17" x14ac:dyDescent="0.25">
      <c r="O229" s="10">
        <v>596</v>
      </c>
      <c r="P229" s="9">
        <v>28</v>
      </c>
      <c r="Q229" s="21">
        <v>96.72</v>
      </c>
    </row>
    <row r="230" spans="15:17" x14ac:dyDescent="0.25">
      <c r="O230" s="8">
        <v>132</v>
      </c>
      <c r="P230" s="7">
        <v>28</v>
      </c>
      <c r="Q230" s="20">
        <v>95.72</v>
      </c>
    </row>
    <row r="231" spans="15:17" x14ac:dyDescent="0.25">
      <c r="O231" s="10">
        <v>6</v>
      </c>
      <c r="P231" s="9">
        <v>28</v>
      </c>
      <c r="Q231" s="21">
        <v>93.72</v>
      </c>
    </row>
    <row r="232" spans="15:17" x14ac:dyDescent="0.25">
      <c r="O232" s="8">
        <v>283</v>
      </c>
      <c r="P232" s="7">
        <v>28</v>
      </c>
      <c r="Q232" s="20">
        <v>86.72</v>
      </c>
    </row>
    <row r="233" spans="15:17" x14ac:dyDescent="0.25">
      <c r="O233" s="10">
        <v>187</v>
      </c>
      <c r="P233" s="9">
        <v>28</v>
      </c>
      <c r="Q233" s="21">
        <v>159.72</v>
      </c>
    </row>
    <row r="234" spans="15:17" x14ac:dyDescent="0.25">
      <c r="O234" s="8">
        <v>558</v>
      </c>
      <c r="P234" s="7">
        <v>28</v>
      </c>
      <c r="Q234" s="20">
        <v>135.72</v>
      </c>
    </row>
    <row r="235" spans="15:17" x14ac:dyDescent="0.25">
      <c r="O235" s="10">
        <v>92</v>
      </c>
      <c r="P235" s="9">
        <v>28</v>
      </c>
      <c r="Q235" s="21">
        <v>133.72</v>
      </c>
    </row>
    <row r="236" spans="15:17" x14ac:dyDescent="0.25">
      <c r="O236" s="8">
        <v>504</v>
      </c>
      <c r="P236" s="7">
        <v>28</v>
      </c>
      <c r="Q236" s="20">
        <v>133.72</v>
      </c>
    </row>
    <row r="237" spans="15:17" x14ac:dyDescent="0.25">
      <c r="O237" s="10">
        <v>221</v>
      </c>
      <c r="P237" s="9">
        <v>28</v>
      </c>
      <c r="Q237" s="21">
        <v>132.72</v>
      </c>
    </row>
    <row r="238" spans="15:17" x14ac:dyDescent="0.25">
      <c r="O238" s="8">
        <v>49</v>
      </c>
      <c r="P238" s="7">
        <v>28</v>
      </c>
      <c r="Q238" s="20">
        <v>130.72</v>
      </c>
    </row>
    <row r="239" spans="15:17" x14ac:dyDescent="0.25">
      <c r="O239" s="10">
        <v>497</v>
      </c>
      <c r="P239" s="9">
        <v>28</v>
      </c>
      <c r="Q239" s="21">
        <v>129.72</v>
      </c>
    </row>
    <row r="240" spans="15:17" x14ac:dyDescent="0.25">
      <c r="O240" s="8">
        <v>589</v>
      </c>
      <c r="P240" s="7">
        <v>28</v>
      </c>
      <c r="Q240" s="20">
        <v>129.72</v>
      </c>
    </row>
    <row r="241" spans="15:17" x14ac:dyDescent="0.25">
      <c r="O241" s="10">
        <v>322</v>
      </c>
      <c r="P241" s="9">
        <v>28</v>
      </c>
      <c r="Q241" s="21">
        <v>128.72</v>
      </c>
    </row>
    <row r="242" spans="15:17" x14ac:dyDescent="0.25">
      <c r="O242" s="8">
        <v>284</v>
      </c>
      <c r="P242" s="7">
        <v>28</v>
      </c>
      <c r="Q242" s="20">
        <v>126.72</v>
      </c>
    </row>
    <row r="243" spans="15:17" x14ac:dyDescent="0.25">
      <c r="O243" s="10">
        <v>515</v>
      </c>
      <c r="P243" s="9">
        <v>28</v>
      </c>
      <c r="Q243" s="21">
        <v>126.72</v>
      </c>
    </row>
    <row r="244" spans="15:17" x14ac:dyDescent="0.25">
      <c r="O244" s="8">
        <v>400</v>
      </c>
      <c r="P244" s="7">
        <v>28</v>
      </c>
      <c r="Q244" s="20">
        <v>124.72</v>
      </c>
    </row>
    <row r="245" spans="15:17" x14ac:dyDescent="0.25">
      <c r="O245" s="10">
        <v>166</v>
      </c>
      <c r="P245" s="9">
        <v>28</v>
      </c>
      <c r="Q245" s="21">
        <v>123.72</v>
      </c>
    </row>
    <row r="246" spans="15:17" x14ac:dyDescent="0.25">
      <c r="O246" s="8">
        <v>276</v>
      </c>
      <c r="P246" s="7">
        <v>28</v>
      </c>
      <c r="Q246" s="20">
        <v>122.72</v>
      </c>
    </row>
    <row r="247" spans="15:17" x14ac:dyDescent="0.25">
      <c r="O247" s="10">
        <v>262</v>
      </c>
      <c r="P247" s="9">
        <v>28</v>
      </c>
      <c r="Q247" s="21">
        <v>119.72</v>
      </c>
    </row>
    <row r="248" spans="15:17" x14ac:dyDescent="0.25">
      <c r="O248" s="8">
        <v>16</v>
      </c>
      <c r="P248" s="7">
        <v>28</v>
      </c>
      <c r="Q248" s="20">
        <v>118.72</v>
      </c>
    </row>
    <row r="249" spans="15:17" x14ac:dyDescent="0.25">
      <c r="O249" s="10">
        <v>266</v>
      </c>
      <c r="P249" s="9">
        <v>28</v>
      </c>
      <c r="Q249" s="21">
        <v>118.72</v>
      </c>
    </row>
    <row r="250" spans="15:17" x14ac:dyDescent="0.25">
      <c r="O250" s="8">
        <v>332</v>
      </c>
      <c r="P250" s="7">
        <v>28</v>
      </c>
      <c r="Q250" s="20">
        <v>118.72</v>
      </c>
    </row>
    <row r="251" spans="15:17" x14ac:dyDescent="0.25">
      <c r="O251" s="10">
        <v>14</v>
      </c>
      <c r="P251" s="9">
        <v>28</v>
      </c>
      <c r="Q251" s="21">
        <v>117.72</v>
      </c>
    </row>
    <row r="252" spans="15:17" x14ac:dyDescent="0.25">
      <c r="O252" s="8">
        <v>126</v>
      </c>
      <c r="P252" s="7">
        <v>28</v>
      </c>
      <c r="Q252" s="20">
        <v>117.72</v>
      </c>
    </row>
    <row r="253" spans="15:17" x14ac:dyDescent="0.25">
      <c r="O253" s="10">
        <v>500</v>
      </c>
      <c r="P253" s="9">
        <v>28</v>
      </c>
      <c r="Q253" s="21">
        <v>115.72</v>
      </c>
    </row>
    <row r="254" spans="15:17" x14ac:dyDescent="0.25">
      <c r="O254" s="8">
        <v>57</v>
      </c>
      <c r="P254" s="7">
        <v>28</v>
      </c>
      <c r="Q254" s="20">
        <v>114.72</v>
      </c>
    </row>
    <row r="255" spans="15:17" x14ac:dyDescent="0.25">
      <c r="O255" s="10">
        <v>317</v>
      </c>
      <c r="P255" s="9">
        <v>28</v>
      </c>
      <c r="Q255" s="21">
        <v>114.72</v>
      </c>
    </row>
    <row r="256" spans="15:17" x14ac:dyDescent="0.25">
      <c r="O256" s="8">
        <v>338</v>
      </c>
      <c r="P256" s="7">
        <v>28</v>
      </c>
      <c r="Q256" s="20">
        <v>114.72</v>
      </c>
    </row>
    <row r="257" spans="15:17" x14ac:dyDescent="0.25">
      <c r="O257" s="10">
        <v>457</v>
      </c>
      <c r="P257" s="9">
        <v>28</v>
      </c>
      <c r="Q257" s="21">
        <v>114.72</v>
      </c>
    </row>
    <row r="258" spans="15:17" x14ac:dyDescent="0.25">
      <c r="O258" s="8">
        <v>441</v>
      </c>
      <c r="P258" s="7">
        <v>28</v>
      </c>
      <c r="Q258" s="20">
        <v>112.72</v>
      </c>
    </row>
    <row r="259" spans="15:17" x14ac:dyDescent="0.25">
      <c r="O259" s="10">
        <v>213</v>
      </c>
      <c r="P259" s="9">
        <v>28</v>
      </c>
      <c r="Q259" s="21">
        <v>111.72</v>
      </c>
    </row>
    <row r="260" spans="15:17" x14ac:dyDescent="0.25">
      <c r="O260" s="8">
        <v>90</v>
      </c>
      <c r="P260" s="7">
        <v>28</v>
      </c>
      <c r="Q260" s="20">
        <v>110.72</v>
      </c>
    </row>
    <row r="261" spans="15:17" x14ac:dyDescent="0.25">
      <c r="O261" s="10">
        <v>376</v>
      </c>
      <c r="P261" s="9">
        <v>28</v>
      </c>
      <c r="Q261" s="21">
        <v>110.72</v>
      </c>
    </row>
    <row r="262" spans="15:17" x14ac:dyDescent="0.25">
      <c r="O262" s="8">
        <v>559</v>
      </c>
      <c r="P262" s="7">
        <v>28</v>
      </c>
      <c r="Q262" s="20">
        <v>110.72</v>
      </c>
    </row>
    <row r="263" spans="15:17" x14ac:dyDescent="0.25">
      <c r="O263" s="10">
        <v>290</v>
      </c>
      <c r="P263" s="9">
        <v>28</v>
      </c>
      <c r="Q263" s="21">
        <v>109.72</v>
      </c>
    </row>
    <row r="264" spans="15:17" x14ac:dyDescent="0.25">
      <c r="O264" s="8">
        <v>574</v>
      </c>
      <c r="P264" s="7">
        <v>28</v>
      </c>
      <c r="Q264" s="20">
        <v>109.72</v>
      </c>
    </row>
    <row r="265" spans="15:17" x14ac:dyDescent="0.25">
      <c r="O265" s="10">
        <v>145</v>
      </c>
      <c r="P265" s="9">
        <v>28</v>
      </c>
      <c r="Q265" s="21">
        <v>108.72</v>
      </c>
    </row>
    <row r="266" spans="15:17" x14ac:dyDescent="0.25">
      <c r="O266" s="8">
        <v>12</v>
      </c>
      <c r="P266" s="7">
        <v>28</v>
      </c>
      <c r="Q266" s="20">
        <v>103.72</v>
      </c>
    </row>
    <row r="267" spans="15:17" x14ac:dyDescent="0.25">
      <c r="O267" s="10">
        <v>374</v>
      </c>
      <c r="P267" s="9">
        <v>28</v>
      </c>
      <c r="Q267" s="21">
        <v>103.72</v>
      </c>
    </row>
    <row r="268" spans="15:17" x14ac:dyDescent="0.25">
      <c r="O268" s="8">
        <v>77</v>
      </c>
      <c r="P268" s="7">
        <v>28</v>
      </c>
      <c r="Q268" s="20">
        <v>100.72</v>
      </c>
    </row>
    <row r="269" spans="15:17" x14ac:dyDescent="0.25">
      <c r="O269" s="10">
        <v>580</v>
      </c>
      <c r="P269" s="9">
        <v>27</v>
      </c>
      <c r="Q269" s="21">
        <v>99.73</v>
      </c>
    </row>
    <row r="270" spans="15:17" x14ac:dyDescent="0.25">
      <c r="O270" s="8">
        <v>133</v>
      </c>
      <c r="P270" s="7">
        <v>27</v>
      </c>
      <c r="Q270" s="20">
        <v>98.73</v>
      </c>
    </row>
    <row r="271" spans="15:17" x14ac:dyDescent="0.25">
      <c r="O271" s="10">
        <v>498</v>
      </c>
      <c r="P271" s="9">
        <v>27</v>
      </c>
      <c r="Q271" s="21">
        <v>97.73</v>
      </c>
    </row>
    <row r="272" spans="15:17" x14ac:dyDescent="0.25">
      <c r="O272" s="8">
        <v>561</v>
      </c>
      <c r="P272" s="7">
        <v>27</v>
      </c>
      <c r="Q272" s="20">
        <v>96.73</v>
      </c>
    </row>
    <row r="273" spans="15:17" x14ac:dyDescent="0.25">
      <c r="O273" s="10">
        <v>36</v>
      </c>
      <c r="P273" s="9">
        <v>27</v>
      </c>
      <c r="Q273" s="21">
        <v>92.73</v>
      </c>
    </row>
    <row r="274" spans="15:17" x14ac:dyDescent="0.25">
      <c r="O274" s="8">
        <v>151</v>
      </c>
      <c r="P274" s="7">
        <v>27</v>
      </c>
      <c r="Q274" s="20">
        <v>92.73</v>
      </c>
    </row>
    <row r="275" spans="15:17" x14ac:dyDescent="0.25">
      <c r="O275" s="10">
        <v>228</v>
      </c>
      <c r="P275" s="9">
        <v>27</v>
      </c>
      <c r="Q275" s="21">
        <v>92.73</v>
      </c>
    </row>
    <row r="276" spans="15:17" x14ac:dyDescent="0.25">
      <c r="O276" s="8">
        <v>200</v>
      </c>
      <c r="P276" s="7">
        <v>27</v>
      </c>
      <c r="Q276" s="20">
        <v>136.72999999999999</v>
      </c>
    </row>
    <row r="277" spans="15:17" x14ac:dyDescent="0.25">
      <c r="O277" s="10">
        <v>591</v>
      </c>
      <c r="P277" s="9">
        <v>27</v>
      </c>
      <c r="Q277" s="21">
        <v>134.72999999999999</v>
      </c>
    </row>
    <row r="278" spans="15:17" x14ac:dyDescent="0.25">
      <c r="O278" s="8">
        <v>59</v>
      </c>
      <c r="P278" s="7">
        <v>27</v>
      </c>
      <c r="Q278" s="20">
        <v>133.72999999999999</v>
      </c>
    </row>
    <row r="279" spans="15:17" x14ac:dyDescent="0.25">
      <c r="O279" s="10">
        <v>13</v>
      </c>
      <c r="P279" s="9">
        <v>27</v>
      </c>
      <c r="Q279" s="21">
        <v>131.72999999999999</v>
      </c>
    </row>
    <row r="280" spans="15:17" x14ac:dyDescent="0.25">
      <c r="O280" s="8">
        <v>594</v>
      </c>
      <c r="P280" s="7">
        <v>27</v>
      </c>
      <c r="Q280" s="20">
        <v>130.72999999999999</v>
      </c>
    </row>
    <row r="281" spans="15:17" x14ac:dyDescent="0.25">
      <c r="O281" s="10">
        <v>2</v>
      </c>
      <c r="P281" s="9">
        <v>27</v>
      </c>
      <c r="Q281" s="21">
        <v>128.72999999999999</v>
      </c>
    </row>
    <row r="282" spans="15:17" x14ac:dyDescent="0.25">
      <c r="O282" s="8">
        <v>434</v>
      </c>
      <c r="P282" s="7">
        <v>27</v>
      </c>
      <c r="Q282" s="20">
        <v>128.72999999999999</v>
      </c>
    </row>
    <row r="283" spans="15:17" x14ac:dyDescent="0.25">
      <c r="O283" s="10">
        <v>45</v>
      </c>
      <c r="P283" s="9">
        <v>27</v>
      </c>
      <c r="Q283" s="21">
        <v>127.73</v>
      </c>
    </row>
    <row r="284" spans="15:17" x14ac:dyDescent="0.25">
      <c r="O284" s="8">
        <v>206</v>
      </c>
      <c r="P284" s="7">
        <v>27</v>
      </c>
      <c r="Q284" s="20">
        <v>126.73</v>
      </c>
    </row>
    <row r="285" spans="15:17" x14ac:dyDescent="0.25">
      <c r="O285" s="10">
        <v>426</v>
      </c>
      <c r="P285" s="9">
        <v>27</v>
      </c>
      <c r="Q285" s="21">
        <v>126.73</v>
      </c>
    </row>
    <row r="286" spans="15:17" x14ac:dyDescent="0.25">
      <c r="O286" s="8">
        <v>491</v>
      </c>
      <c r="P286" s="7">
        <v>27</v>
      </c>
      <c r="Q286" s="20">
        <v>124.73</v>
      </c>
    </row>
    <row r="287" spans="15:17" x14ac:dyDescent="0.25">
      <c r="O287" s="10">
        <v>331</v>
      </c>
      <c r="P287" s="9">
        <v>27</v>
      </c>
      <c r="Q287" s="21">
        <v>122.73</v>
      </c>
    </row>
    <row r="288" spans="15:17" x14ac:dyDescent="0.25">
      <c r="O288" s="8">
        <v>421</v>
      </c>
      <c r="P288" s="7">
        <v>27</v>
      </c>
      <c r="Q288" s="20">
        <v>119.73</v>
      </c>
    </row>
    <row r="289" spans="15:17" x14ac:dyDescent="0.25">
      <c r="O289" s="10">
        <v>280</v>
      </c>
      <c r="P289" s="9">
        <v>27</v>
      </c>
      <c r="Q289" s="21">
        <v>118.73</v>
      </c>
    </row>
    <row r="290" spans="15:17" x14ac:dyDescent="0.25">
      <c r="O290" s="8">
        <v>292</v>
      </c>
      <c r="P290" s="7">
        <v>27</v>
      </c>
      <c r="Q290" s="20">
        <v>118.73</v>
      </c>
    </row>
    <row r="291" spans="15:17" x14ac:dyDescent="0.25">
      <c r="O291" s="10">
        <v>286</v>
      </c>
      <c r="P291" s="9">
        <v>27</v>
      </c>
      <c r="Q291" s="21">
        <v>117.73</v>
      </c>
    </row>
    <row r="292" spans="15:17" x14ac:dyDescent="0.25">
      <c r="O292" s="8">
        <v>577</v>
      </c>
      <c r="P292" s="7">
        <v>27</v>
      </c>
      <c r="Q292" s="20">
        <v>117.73</v>
      </c>
    </row>
    <row r="293" spans="15:17" x14ac:dyDescent="0.25">
      <c r="O293" s="10">
        <v>58</v>
      </c>
      <c r="P293" s="9">
        <v>27</v>
      </c>
      <c r="Q293" s="21">
        <v>115.73</v>
      </c>
    </row>
    <row r="294" spans="15:17" x14ac:dyDescent="0.25">
      <c r="O294" s="8">
        <v>220</v>
      </c>
      <c r="P294" s="7">
        <v>27</v>
      </c>
      <c r="Q294" s="20">
        <v>114.73</v>
      </c>
    </row>
    <row r="295" spans="15:17" x14ac:dyDescent="0.25">
      <c r="O295" s="10">
        <v>139</v>
      </c>
      <c r="P295" s="9">
        <v>27</v>
      </c>
      <c r="Q295" s="21">
        <v>113.73</v>
      </c>
    </row>
    <row r="296" spans="15:17" x14ac:dyDescent="0.25">
      <c r="O296" s="8">
        <v>407</v>
      </c>
      <c r="P296" s="7">
        <v>27</v>
      </c>
      <c r="Q296" s="20">
        <v>112.73</v>
      </c>
    </row>
    <row r="297" spans="15:17" x14ac:dyDescent="0.25">
      <c r="O297" s="10">
        <v>116</v>
      </c>
      <c r="P297" s="9">
        <v>27</v>
      </c>
      <c r="Q297" s="21">
        <v>111.73</v>
      </c>
    </row>
    <row r="298" spans="15:17" x14ac:dyDescent="0.25">
      <c r="O298" s="8">
        <v>396</v>
      </c>
      <c r="P298" s="7">
        <v>27</v>
      </c>
      <c r="Q298" s="20">
        <v>111.73</v>
      </c>
    </row>
    <row r="299" spans="15:17" x14ac:dyDescent="0.25">
      <c r="O299" s="10">
        <v>579</v>
      </c>
      <c r="P299" s="9">
        <v>27</v>
      </c>
      <c r="Q299" s="21">
        <v>111.73</v>
      </c>
    </row>
    <row r="300" spans="15:17" x14ac:dyDescent="0.25">
      <c r="O300" s="8">
        <v>40</v>
      </c>
      <c r="P300" s="7">
        <v>27</v>
      </c>
      <c r="Q300" s="20">
        <v>110.73</v>
      </c>
    </row>
    <row r="301" spans="15:17" x14ac:dyDescent="0.25">
      <c r="O301" s="10">
        <v>190</v>
      </c>
      <c r="P301" s="9">
        <v>27</v>
      </c>
      <c r="Q301" s="21">
        <v>110.73</v>
      </c>
    </row>
    <row r="302" spans="15:17" x14ac:dyDescent="0.25">
      <c r="O302" s="8">
        <v>333</v>
      </c>
      <c r="P302" s="7">
        <v>27</v>
      </c>
      <c r="Q302" s="20">
        <v>109.73</v>
      </c>
    </row>
    <row r="303" spans="15:17" x14ac:dyDescent="0.25">
      <c r="O303" s="10">
        <v>471</v>
      </c>
      <c r="P303" s="9">
        <v>27</v>
      </c>
      <c r="Q303" s="21">
        <v>109.73</v>
      </c>
    </row>
    <row r="304" spans="15:17" x14ac:dyDescent="0.25">
      <c r="O304" s="8">
        <v>581</v>
      </c>
      <c r="P304" s="7">
        <v>27</v>
      </c>
      <c r="Q304" s="20">
        <v>107.73</v>
      </c>
    </row>
    <row r="305" spans="15:17" x14ac:dyDescent="0.25">
      <c r="O305" s="10">
        <v>160</v>
      </c>
      <c r="P305" s="9">
        <v>27</v>
      </c>
      <c r="Q305" s="21">
        <v>106.73</v>
      </c>
    </row>
    <row r="306" spans="15:17" x14ac:dyDescent="0.25">
      <c r="O306" s="8">
        <v>96</v>
      </c>
      <c r="P306" s="7">
        <v>27</v>
      </c>
      <c r="Q306" s="20">
        <v>105.73</v>
      </c>
    </row>
    <row r="307" spans="15:17" x14ac:dyDescent="0.25">
      <c r="O307" s="10">
        <v>74</v>
      </c>
      <c r="P307" s="9">
        <v>27</v>
      </c>
      <c r="Q307" s="21">
        <v>103.73</v>
      </c>
    </row>
    <row r="308" spans="15:17" x14ac:dyDescent="0.25">
      <c r="O308" s="8">
        <v>282</v>
      </c>
      <c r="P308" s="7">
        <v>27</v>
      </c>
      <c r="Q308" s="20">
        <v>103.73</v>
      </c>
    </row>
    <row r="309" spans="15:17" x14ac:dyDescent="0.25">
      <c r="O309" s="10">
        <v>383</v>
      </c>
      <c r="P309" s="9">
        <v>27</v>
      </c>
      <c r="Q309" s="21">
        <v>103.73</v>
      </c>
    </row>
    <row r="310" spans="15:17" x14ac:dyDescent="0.25">
      <c r="O310" s="8">
        <v>570</v>
      </c>
      <c r="P310" s="7">
        <v>26</v>
      </c>
      <c r="Q310" s="20">
        <v>99.74</v>
      </c>
    </row>
    <row r="311" spans="15:17" x14ac:dyDescent="0.25">
      <c r="O311" s="10">
        <v>516</v>
      </c>
      <c r="P311" s="9">
        <v>26</v>
      </c>
      <c r="Q311" s="21">
        <v>98.74</v>
      </c>
    </row>
    <row r="312" spans="15:17" x14ac:dyDescent="0.25">
      <c r="O312" s="8">
        <v>111</v>
      </c>
      <c r="P312" s="7">
        <v>26</v>
      </c>
      <c r="Q312" s="20">
        <v>97.74</v>
      </c>
    </row>
    <row r="313" spans="15:17" x14ac:dyDescent="0.25">
      <c r="O313" s="10">
        <v>182</v>
      </c>
      <c r="P313" s="9">
        <v>26</v>
      </c>
      <c r="Q313" s="21">
        <v>97.74</v>
      </c>
    </row>
    <row r="314" spans="15:17" x14ac:dyDescent="0.25">
      <c r="O314" s="8">
        <v>422</v>
      </c>
      <c r="P314" s="7">
        <v>26</v>
      </c>
      <c r="Q314" s="20">
        <v>97.74</v>
      </c>
    </row>
    <row r="315" spans="15:17" x14ac:dyDescent="0.25">
      <c r="O315" s="10">
        <v>551</v>
      </c>
      <c r="P315" s="9">
        <v>26</v>
      </c>
      <c r="Q315" s="21">
        <v>96.74</v>
      </c>
    </row>
    <row r="316" spans="15:17" x14ac:dyDescent="0.25">
      <c r="O316" s="8">
        <v>142</v>
      </c>
      <c r="P316" s="7">
        <v>26</v>
      </c>
      <c r="Q316" s="20">
        <v>94.74</v>
      </c>
    </row>
    <row r="317" spans="15:17" x14ac:dyDescent="0.25">
      <c r="O317" s="10">
        <v>377</v>
      </c>
      <c r="P317" s="9">
        <v>26</v>
      </c>
      <c r="Q317" s="21">
        <v>93.74</v>
      </c>
    </row>
    <row r="318" spans="15:17" x14ac:dyDescent="0.25">
      <c r="O318" s="8">
        <v>208</v>
      </c>
      <c r="P318" s="7">
        <v>26</v>
      </c>
      <c r="Q318" s="20">
        <v>91.74</v>
      </c>
    </row>
    <row r="319" spans="15:17" x14ac:dyDescent="0.25">
      <c r="O319" s="10">
        <v>215</v>
      </c>
      <c r="P319" s="9">
        <v>26</v>
      </c>
      <c r="Q319" s="21">
        <v>91.74</v>
      </c>
    </row>
    <row r="320" spans="15:17" x14ac:dyDescent="0.25">
      <c r="O320" s="8">
        <v>357</v>
      </c>
      <c r="P320" s="7">
        <v>26</v>
      </c>
      <c r="Q320" s="20">
        <v>89.74</v>
      </c>
    </row>
    <row r="321" spans="15:17" x14ac:dyDescent="0.25">
      <c r="O321" s="10">
        <v>450</v>
      </c>
      <c r="P321" s="9">
        <v>26</v>
      </c>
      <c r="Q321" s="21">
        <v>89.74</v>
      </c>
    </row>
    <row r="322" spans="15:17" x14ac:dyDescent="0.25">
      <c r="O322" s="8">
        <v>278</v>
      </c>
      <c r="P322" s="7">
        <v>26</v>
      </c>
      <c r="Q322" s="20">
        <v>88.74</v>
      </c>
    </row>
    <row r="323" spans="15:17" x14ac:dyDescent="0.25">
      <c r="O323" s="10">
        <v>411</v>
      </c>
      <c r="P323" s="9">
        <v>26</v>
      </c>
      <c r="Q323" s="21">
        <v>80.739999999999995</v>
      </c>
    </row>
    <row r="324" spans="15:17" x14ac:dyDescent="0.25">
      <c r="O324" s="8">
        <v>3</v>
      </c>
      <c r="P324" s="7">
        <v>26</v>
      </c>
      <c r="Q324" s="20">
        <v>135.74</v>
      </c>
    </row>
    <row r="325" spans="15:17" x14ac:dyDescent="0.25">
      <c r="O325" s="10">
        <v>285</v>
      </c>
      <c r="P325" s="9">
        <v>26</v>
      </c>
      <c r="Q325" s="21">
        <v>135.74</v>
      </c>
    </row>
    <row r="326" spans="15:17" x14ac:dyDescent="0.25">
      <c r="O326" s="8">
        <v>82</v>
      </c>
      <c r="P326" s="7">
        <v>26</v>
      </c>
      <c r="Q326" s="20">
        <v>130.74</v>
      </c>
    </row>
    <row r="327" spans="15:17" x14ac:dyDescent="0.25">
      <c r="O327" s="10">
        <v>389</v>
      </c>
      <c r="P327" s="9">
        <v>26</v>
      </c>
      <c r="Q327" s="21">
        <v>124.74</v>
      </c>
    </row>
    <row r="328" spans="15:17" x14ac:dyDescent="0.25">
      <c r="O328" s="8">
        <v>510</v>
      </c>
      <c r="P328" s="7">
        <v>26</v>
      </c>
      <c r="Q328" s="20">
        <v>122.74</v>
      </c>
    </row>
    <row r="329" spans="15:17" x14ac:dyDescent="0.25">
      <c r="O329" s="10">
        <v>149</v>
      </c>
      <c r="P329" s="9">
        <v>26</v>
      </c>
      <c r="Q329" s="21">
        <v>121.74</v>
      </c>
    </row>
    <row r="330" spans="15:17" x14ac:dyDescent="0.25">
      <c r="O330" s="8">
        <v>105</v>
      </c>
      <c r="P330" s="7">
        <v>26</v>
      </c>
      <c r="Q330" s="20">
        <v>120.74</v>
      </c>
    </row>
    <row r="331" spans="15:17" x14ac:dyDescent="0.25">
      <c r="O331" s="10">
        <v>225</v>
      </c>
      <c r="P331" s="9">
        <v>26</v>
      </c>
      <c r="Q331" s="21">
        <v>120.74</v>
      </c>
    </row>
    <row r="332" spans="15:17" x14ac:dyDescent="0.25">
      <c r="O332" s="8">
        <v>423</v>
      </c>
      <c r="P332" s="7">
        <v>26</v>
      </c>
      <c r="Q332" s="20">
        <v>120.74</v>
      </c>
    </row>
    <row r="333" spans="15:17" x14ac:dyDescent="0.25">
      <c r="O333" s="10">
        <v>495</v>
      </c>
      <c r="P333" s="9">
        <v>26</v>
      </c>
      <c r="Q333" s="21">
        <v>120.74</v>
      </c>
    </row>
    <row r="334" spans="15:17" x14ac:dyDescent="0.25">
      <c r="O334" s="8">
        <v>170</v>
      </c>
      <c r="P334" s="7">
        <v>26</v>
      </c>
      <c r="Q334" s="20">
        <v>119.74</v>
      </c>
    </row>
    <row r="335" spans="15:17" x14ac:dyDescent="0.25">
      <c r="O335" s="10">
        <v>487</v>
      </c>
      <c r="P335" s="9">
        <v>26</v>
      </c>
      <c r="Q335" s="21">
        <v>119.74</v>
      </c>
    </row>
    <row r="336" spans="15:17" x14ac:dyDescent="0.25">
      <c r="O336" s="8">
        <v>240</v>
      </c>
      <c r="P336" s="7">
        <v>26</v>
      </c>
      <c r="Q336" s="20">
        <v>117.74</v>
      </c>
    </row>
    <row r="337" spans="15:17" x14ac:dyDescent="0.25">
      <c r="O337" s="10">
        <v>304</v>
      </c>
      <c r="P337" s="9">
        <v>26</v>
      </c>
      <c r="Q337" s="21">
        <v>115.74</v>
      </c>
    </row>
    <row r="338" spans="15:17" x14ac:dyDescent="0.25">
      <c r="O338" s="8">
        <v>512</v>
      </c>
      <c r="P338" s="7">
        <v>26</v>
      </c>
      <c r="Q338" s="20">
        <v>115.74</v>
      </c>
    </row>
    <row r="339" spans="15:17" x14ac:dyDescent="0.25">
      <c r="O339" s="10">
        <v>44</v>
      </c>
      <c r="P339" s="9">
        <v>26</v>
      </c>
      <c r="Q339" s="21">
        <v>114.74</v>
      </c>
    </row>
    <row r="340" spans="15:17" x14ac:dyDescent="0.25">
      <c r="O340" s="8">
        <v>171</v>
      </c>
      <c r="P340" s="7">
        <v>26</v>
      </c>
      <c r="Q340" s="20">
        <v>114.74</v>
      </c>
    </row>
    <row r="341" spans="15:17" x14ac:dyDescent="0.25">
      <c r="O341" s="10">
        <v>294</v>
      </c>
      <c r="P341" s="9">
        <v>26</v>
      </c>
      <c r="Q341" s="21">
        <v>113.74</v>
      </c>
    </row>
    <row r="342" spans="15:17" x14ac:dyDescent="0.25">
      <c r="O342" s="8">
        <v>486</v>
      </c>
      <c r="P342" s="7">
        <v>26</v>
      </c>
      <c r="Q342" s="20">
        <v>113.74</v>
      </c>
    </row>
    <row r="343" spans="15:17" x14ac:dyDescent="0.25">
      <c r="O343" s="10">
        <v>593</v>
      </c>
      <c r="P343" s="9">
        <v>26</v>
      </c>
      <c r="Q343" s="21">
        <v>113.74</v>
      </c>
    </row>
    <row r="344" spans="15:17" x14ac:dyDescent="0.25">
      <c r="O344" s="8">
        <v>327</v>
      </c>
      <c r="P344" s="7">
        <v>26</v>
      </c>
      <c r="Q344" s="20">
        <v>112.74</v>
      </c>
    </row>
    <row r="345" spans="15:17" x14ac:dyDescent="0.25">
      <c r="O345" s="10">
        <v>234</v>
      </c>
      <c r="P345" s="9">
        <v>26</v>
      </c>
      <c r="Q345" s="21">
        <v>111.74</v>
      </c>
    </row>
    <row r="346" spans="15:17" x14ac:dyDescent="0.25">
      <c r="O346" s="8">
        <v>518</v>
      </c>
      <c r="P346" s="7">
        <v>26</v>
      </c>
      <c r="Q346" s="20">
        <v>111.74</v>
      </c>
    </row>
    <row r="347" spans="15:17" x14ac:dyDescent="0.25">
      <c r="O347" s="10">
        <v>231</v>
      </c>
      <c r="P347" s="9">
        <v>26</v>
      </c>
      <c r="Q347" s="21">
        <v>110.74</v>
      </c>
    </row>
    <row r="348" spans="15:17" x14ac:dyDescent="0.25">
      <c r="O348" s="8">
        <v>121</v>
      </c>
      <c r="P348" s="7">
        <v>26</v>
      </c>
      <c r="Q348" s="20">
        <v>109.74</v>
      </c>
    </row>
    <row r="349" spans="15:17" x14ac:dyDescent="0.25">
      <c r="O349" s="10">
        <v>587</v>
      </c>
      <c r="P349" s="9">
        <v>26</v>
      </c>
      <c r="Q349" s="21">
        <v>108.74</v>
      </c>
    </row>
    <row r="350" spans="15:17" x14ac:dyDescent="0.25">
      <c r="O350" s="8">
        <v>109</v>
      </c>
      <c r="P350" s="7">
        <v>26</v>
      </c>
      <c r="Q350" s="20">
        <v>107.74</v>
      </c>
    </row>
    <row r="351" spans="15:17" x14ac:dyDescent="0.25">
      <c r="O351" s="10">
        <v>261</v>
      </c>
      <c r="P351" s="9">
        <v>26</v>
      </c>
      <c r="Q351" s="21">
        <v>107.74</v>
      </c>
    </row>
    <row r="352" spans="15:17" x14ac:dyDescent="0.25">
      <c r="O352" s="8">
        <v>31</v>
      </c>
      <c r="P352" s="7">
        <v>26</v>
      </c>
      <c r="Q352" s="20">
        <v>104.74</v>
      </c>
    </row>
    <row r="353" spans="15:17" x14ac:dyDescent="0.25">
      <c r="O353" s="10">
        <v>312</v>
      </c>
      <c r="P353" s="9">
        <v>26</v>
      </c>
      <c r="Q353" s="21">
        <v>104.74</v>
      </c>
    </row>
    <row r="354" spans="15:17" x14ac:dyDescent="0.25">
      <c r="O354" s="8">
        <v>425</v>
      </c>
      <c r="P354" s="7">
        <v>26</v>
      </c>
      <c r="Q354" s="20">
        <v>104.74</v>
      </c>
    </row>
    <row r="355" spans="15:17" x14ac:dyDescent="0.25">
      <c r="O355" s="10">
        <v>202</v>
      </c>
      <c r="P355" s="9">
        <v>26</v>
      </c>
      <c r="Q355" s="21">
        <v>103.74</v>
      </c>
    </row>
    <row r="356" spans="15:17" x14ac:dyDescent="0.25">
      <c r="O356" s="8">
        <v>445</v>
      </c>
      <c r="P356" s="7">
        <v>26</v>
      </c>
      <c r="Q356" s="20">
        <v>102.74</v>
      </c>
    </row>
    <row r="357" spans="15:17" x14ac:dyDescent="0.25">
      <c r="O357" s="10">
        <v>219</v>
      </c>
      <c r="P357" s="9">
        <v>26</v>
      </c>
      <c r="Q357" s="21">
        <v>101.74</v>
      </c>
    </row>
    <row r="358" spans="15:17" x14ac:dyDescent="0.25">
      <c r="O358" s="8">
        <v>298</v>
      </c>
      <c r="P358" s="7">
        <v>26</v>
      </c>
      <c r="Q358" s="20">
        <v>101.74</v>
      </c>
    </row>
    <row r="359" spans="15:17" x14ac:dyDescent="0.25">
      <c r="O359" s="10">
        <v>385</v>
      </c>
      <c r="P359" s="9">
        <v>26</v>
      </c>
      <c r="Q359" s="21">
        <v>101.74</v>
      </c>
    </row>
    <row r="360" spans="15:17" x14ac:dyDescent="0.25">
      <c r="O360" s="8">
        <v>387</v>
      </c>
      <c r="P360" s="7">
        <v>26</v>
      </c>
      <c r="Q360" s="20">
        <v>101.74</v>
      </c>
    </row>
    <row r="361" spans="15:17" x14ac:dyDescent="0.25">
      <c r="O361" s="10">
        <v>303</v>
      </c>
      <c r="P361" s="9">
        <v>26</v>
      </c>
      <c r="Q361" s="21">
        <v>100.74</v>
      </c>
    </row>
    <row r="362" spans="15:17" x14ac:dyDescent="0.25">
      <c r="O362" s="8">
        <v>474</v>
      </c>
      <c r="P362" s="7">
        <v>26</v>
      </c>
      <c r="Q362" s="20">
        <v>100.74</v>
      </c>
    </row>
    <row r="363" spans="15:17" x14ac:dyDescent="0.25">
      <c r="O363" s="10">
        <v>10</v>
      </c>
      <c r="P363" s="9">
        <v>25</v>
      </c>
      <c r="Q363" s="21">
        <v>99.75</v>
      </c>
    </row>
    <row r="364" spans="15:17" x14ac:dyDescent="0.25">
      <c r="O364" s="8">
        <v>597</v>
      </c>
      <c r="P364" s="7">
        <v>25</v>
      </c>
      <c r="Q364" s="20">
        <v>99.75</v>
      </c>
    </row>
    <row r="365" spans="15:17" x14ac:dyDescent="0.25">
      <c r="O365" s="10">
        <v>60</v>
      </c>
      <c r="P365" s="9">
        <v>25</v>
      </c>
      <c r="Q365" s="21">
        <v>98.75</v>
      </c>
    </row>
    <row r="366" spans="15:17" x14ac:dyDescent="0.25">
      <c r="O366" s="8">
        <v>264</v>
      </c>
      <c r="P366" s="7">
        <v>25</v>
      </c>
      <c r="Q366" s="20">
        <v>98.75</v>
      </c>
    </row>
    <row r="367" spans="15:17" x14ac:dyDescent="0.25">
      <c r="O367" s="10">
        <v>69</v>
      </c>
      <c r="P367" s="9">
        <v>25</v>
      </c>
      <c r="Q367" s="21">
        <v>96.75</v>
      </c>
    </row>
    <row r="368" spans="15:17" x14ac:dyDescent="0.25">
      <c r="O368" s="8">
        <v>326</v>
      </c>
      <c r="P368" s="7">
        <v>25</v>
      </c>
      <c r="Q368" s="20">
        <v>96.75</v>
      </c>
    </row>
    <row r="369" spans="15:17" x14ac:dyDescent="0.25">
      <c r="O369" s="10">
        <v>24</v>
      </c>
      <c r="P369" s="9">
        <v>25</v>
      </c>
      <c r="Q369" s="21">
        <v>95.75</v>
      </c>
    </row>
    <row r="370" spans="15:17" x14ac:dyDescent="0.25">
      <c r="O370" s="8">
        <v>232</v>
      </c>
      <c r="P370" s="7">
        <v>25</v>
      </c>
      <c r="Q370" s="20">
        <v>95.75</v>
      </c>
    </row>
    <row r="371" spans="15:17" x14ac:dyDescent="0.25">
      <c r="O371" s="10">
        <v>507</v>
      </c>
      <c r="P371" s="9">
        <v>25</v>
      </c>
      <c r="Q371" s="21">
        <v>95.75</v>
      </c>
    </row>
    <row r="372" spans="15:17" x14ac:dyDescent="0.25">
      <c r="O372" s="8">
        <v>330</v>
      </c>
      <c r="P372" s="7">
        <v>25</v>
      </c>
      <c r="Q372" s="20">
        <v>94.75</v>
      </c>
    </row>
    <row r="373" spans="15:17" x14ac:dyDescent="0.25">
      <c r="O373" s="10">
        <v>229</v>
      </c>
      <c r="P373" s="9">
        <v>25</v>
      </c>
      <c r="Q373" s="21">
        <v>93.75</v>
      </c>
    </row>
    <row r="374" spans="15:17" x14ac:dyDescent="0.25">
      <c r="O374" s="8">
        <v>235</v>
      </c>
      <c r="P374" s="7">
        <v>25</v>
      </c>
      <c r="Q374" s="20">
        <v>93.75</v>
      </c>
    </row>
    <row r="375" spans="15:17" x14ac:dyDescent="0.25">
      <c r="O375" s="10">
        <v>188</v>
      </c>
      <c r="P375" s="9">
        <v>25</v>
      </c>
      <c r="Q375" s="21">
        <v>92.75</v>
      </c>
    </row>
    <row r="376" spans="15:17" x14ac:dyDescent="0.25">
      <c r="O376" s="8">
        <v>435</v>
      </c>
      <c r="P376" s="7">
        <v>25</v>
      </c>
      <c r="Q376" s="20">
        <v>91.75</v>
      </c>
    </row>
    <row r="377" spans="15:17" x14ac:dyDescent="0.25">
      <c r="O377" s="10">
        <v>463</v>
      </c>
      <c r="P377" s="9">
        <v>25</v>
      </c>
      <c r="Q377" s="21">
        <v>91.75</v>
      </c>
    </row>
    <row r="378" spans="15:17" x14ac:dyDescent="0.25">
      <c r="O378" s="8">
        <v>384</v>
      </c>
      <c r="P378" s="7">
        <v>25</v>
      </c>
      <c r="Q378" s="20">
        <v>89.75</v>
      </c>
    </row>
    <row r="379" spans="15:17" x14ac:dyDescent="0.25">
      <c r="O379" s="10">
        <v>419</v>
      </c>
      <c r="P379" s="9">
        <v>25</v>
      </c>
      <c r="Q379" s="21">
        <v>89.75</v>
      </c>
    </row>
    <row r="380" spans="15:17" x14ac:dyDescent="0.25">
      <c r="O380" s="8">
        <v>369</v>
      </c>
      <c r="P380" s="7">
        <v>25</v>
      </c>
      <c r="Q380" s="20">
        <v>88.75</v>
      </c>
    </row>
    <row r="381" spans="15:17" x14ac:dyDescent="0.25">
      <c r="O381" s="10">
        <v>433</v>
      </c>
      <c r="P381" s="9">
        <v>25</v>
      </c>
      <c r="Q381" s="21">
        <v>133.75</v>
      </c>
    </row>
    <row r="382" spans="15:17" x14ac:dyDescent="0.25">
      <c r="O382" s="8">
        <v>508</v>
      </c>
      <c r="P382" s="7">
        <v>25</v>
      </c>
      <c r="Q382" s="20">
        <v>127.75</v>
      </c>
    </row>
    <row r="383" spans="15:17" x14ac:dyDescent="0.25">
      <c r="O383" s="10">
        <v>41</v>
      </c>
      <c r="P383" s="9">
        <v>25</v>
      </c>
      <c r="Q383" s="21">
        <v>118.75</v>
      </c>
    </row>
    <row r="384" spans="15:17" x14ac:dyDescent="0.25">
      <c r="O384" s="8">
        <v>531</v>
      </c>
      <c r="P384" s="7">
        <v>25</v>
      </c>
      <c r="Q384" s="20">
        <v>118.75</v>
      </c>
    </row>
    <row r="385" spans="15:17" x14ac:dyDescent="0.25">
      <c r="O385" s="10">
        <v>536</v>
      </c>
      <c r="P385" s="9">
        <v>25</v>
      </c>
      <c r="Q385" s="21">
        <v>117.75</v>
      </c>
    </row>
    <row r="386" spans="15:17" x14ac:dyDescent="0.25">
      <c r="O386" s="8">
        <v>343</v>
      </c>
      <c r="P386" s="7">
        <v>25</v>
      </c>
      <c r="Q386" s="20">
        <v>114.75</v>
      </c>
    </row>
    <row r="387" spans="15:17" x14ac:dyDescent="0.25">
      <c r="O387" s="10">
        <v>582</v>
      </c>
      <c r="P387" s="9">
        <v>25</v>
      </c>
      <c r="Q387" s="21">
        <v>113.75</v>
      </c>
    </row>
    <row r="388" spans="15:17" x14ac:dyDescent="0.25">
      <c r="O388" s="8">
        <v>63</v>
      </c>
      <c r="P388" s="7">
        <v>25</v>
      </c>
      <c r="Q388" s="20">
        <v>112.75</v>
      </c>
    </row>
    <row r="389" spans="15:17" x14ac:dyDescent="0.25">
      <c r="O389" s="10">
        <v>590</v>
      </c>
      <c r="P389" s="9">
        <v>25</v>
      </c>
      <c r="Q389" s="21">
        <v>112.75</v>
      </c>
    </row>
    <row r="390" spans="15:17" x14ac:dyDescent="0.25">
      <c r="O390" s="8">
        <v>528</v>
      </c>
      <c r="P390" s="7">
        <v>25</v>
      </c>
      <c r="Q390" s="20">
        <v>111.75</v>
      </c>
    </row>
    <row r="391" spans="15:17" x14ac:dyDescent="0.25">
      <c r="O391" s="10">
        <v>417</v>
      </c>
      <c r="P391" s="9">
        <v>25</v>
      </c>
      <c r="Q391" s="21">
        <v>110.75</v>
      </c>
    </row>
    <row r="392" spans="15:17" x14ac:dyDescent="0.25">
      <c r="O392" s="8">
        <v>155</v>
      </c>
      <c r="P392" s="7">
        <v>25</v>
      </c>
      <c r="Q392" s="20">
        <v>109.75</v>
      </c>
    </row>
    <row r="393" spans="15:17" x14ac:dyDescent="0.25">
      <c r="O393" s="10">
        <v>193</v>
      </c>
      <c r="P393" s="9">
        <v>25</v>
      </c>
      <c r="Q393" s="21">
        <v>109.75</v>
      </c>
    </row>
    <row r="394" spans="15:17" x14ac:dyDescent="0.25">
      <c r="O394" s="8">
        <v>305</v>
      </c>
      <c r="P394" s="7">
        <v>25</v>
      </c>
      <c r="Q394" s="20">
        <v>109.75</v>
      </c>
    </row>
    <row r="395" spans="15:17" x14ac:dyDescent="0.25">
      <c r="O395" s="10">
        <v>460</v>
      </c>
      <c r="P395" s="9">
        <v>25</v>
      </c>
      <c r="Q395" s="21">
        <v>109.75</v>
      </c>
    </row>
    <row r="396" spans="15:17" x14ac:dyDescent="0.25">
      <c r="O396" s="8">
        <v>562</v>
      </c>
      <c r="P396" s="7">
        <v>25</v>
      </c>
      <c r="Q396" s="20">
        <v>109.75</v>
      </c>
    </row>
    <row r="397" spans="15:17" x14ac:dyDescent="0.25">
      <c r="O397" s="10">
        <v>201</v>
      </c>
      <c r="P397" s="9">
        <v>25</v>
      </c>
      <c r="Q397" s="21">
        <v>108.75</v>
      </c>
    </row>
    <row r="398" spans="15:17" x14ac:dyDescent="0.25">
      <c r="O398" s="8">
        <v>572</v>
      </c>
      <c r="P398" s="7">
        <v>25</v>
      </c>
      <c r="Q398" s="20">
        <v>108.75</v>
      </c>
    </row>
    <row r="399" spans="15:17" x14ac:dyDescent="0.25">
      <c r="O399" s="10">
        <v>98</v>
      </c>
      <c r="P399" s="9">
        <v>25</v>
      </c>
      <c r="Q399" s="21">
        <v>106.75</v>
      </c>
    </row>
    <row r="400" spans="15:17" x14ac:dyDescent="0.25">
      <c r="O400" s="8">
        <v>150</v>
      </c>
      <c r="P400" s="7">
        <v>25</v>
      </c>
      <c r="Q400" s="20">
        <v>105.75</v>
      </c>
    </row>
    <row r="401" spans="15:17" x14ac:dyDescent="0.25">
      <c r="O401" s="10">
        <v>308</v>
      </c>
      <c r="P401" s="9">
        <v>25</v>
      </c>
      <c r="Q401" s="21">
        <v>105.75</v>
      </c>
    </row>
    <row r="402" spans="15:17" x14ac:dyDescent="0.25">
      <c r="O402" s="8">
        <v>414</v>
      </c>
      <c r="P402" s="7">
        <v>25</v>
      </c>
      <c r="Q402" s="20">
        <v>105.75</v>
      </c>
    </row>
    <row r="403" spans="15:17" x14ac:dyDescent="0.25">
      <c r="O403" s="10">
        <v>517</v>
      </c>
      <c r="P403" s="9">
        <v>25</v>
      </c>
      <c r="Q403" s="21">
        <v>105.75</v>
      </c>
    </row>
    <row r="404" spans="15:17" x14ac:dyDescent="0.25">
      <c r="O404" s="8">
        <v>270</v>
      </c>
      <c r="P404" s="7">
        <v>25</v>
      </c>
      <c r="Q404" s="20">
        <v>104.75</v>
      </c>
    </row>
    <row r="405" spans="15:17" x14ac:dyDescent="0.25">
      <c r="O405" s="10">
        <v>199</v>
      </c>
      <c r="P405" s="9">
        <v>25</v>
      </c>
      <c r="Q405" s="21">
        <v>103.75</v>
      </c>
    </row>
    <row r="406" spans="15:17" x14ac:dyDescent="0.25">
      <c r="O406" s="8">
        <v>324</v>
      </c>
      <c r="P406" s="7">
        <v>25</v>
      </c>
      <c r="Q406" s="20">
        <v>103.75</v>
      </c>
    </row>
    <row r="407" spans="15:17" x14ac:dyDescent="0.25">
      <c r="O407" s="10">
        <v>537</v>
      </c>
      <c r="P407" s="9">
        <v>25</v>
      </c>
      <c r="Q407" s="21">
        <v>103.75</v>
      </c>
    </row>
    <row r="408" spans="15:17" x14ac:dyDescent="0.25">
      <c r="O408" s="8">
        <v>546</v>
      </c>
      <c r="P408" s="7">
        <v>25</v>
      </c>
      <c r="Q408" s="20">
        <v>103.75</v>
      </c>
    </row>
    <row r="409" spans="15:17" x14ac:dyDescent="0.25">
      <c r="O409" s="10">
        <v>83</v>
      </c>
      <c r="P409" s="9">
        <v>25</v>
      </c>
      <c r="Q409" s="21">
        <v>101.75</v>
      </c>
    </row>
    <row r="410" spans="15:17" x14ac:dyDescent="0.25">
      <c r="O410" s="8">
        <v>156</v>
      </c>
      <c r="P410" s="7">
        <v>25</v>
      </c>
      <c r="Q410" s="20">
        <v>101.75</v>
      </c>
    </row>
    <row r="411" spans="15:17" x14ac:dyDescent="0.25">
      <c r="O411" s="10">
        <v>359</v>
      </c>
      <c r="P411" s="9">
        <v>25</v>
      </c>
      <c r="Q411" s="21">
        <v>101.75</v>
      </c>
    </row>
    <row r="412" spans="15:17" x14ac:dyDescent="0.25">
      <c r="O412" s="8">
        <v>456</v>
      </c>
      <c r="P412" s="7">
        <v>25</v>
      </c>
      <c r="Q412" s="20">
        <v>100.75</v>
      </c>
    </row>
    <row r="413" spans="15:17" x14ac:dyDescent="0.25">
      <c r="O413" s="10">
        <v>43</v>
      </c>
      <c r="P413" s="9">
        <v>24</v>
      </c>
      <c r="Q413" s="21">
        <v>99.76</v>
      </c>
    </row>
    <row r="414" spans="15:17" x14ac:dyDescent="0.25">
      <c r="O414" s="8">
        <v>511</v>
      </c>
      <c r="P414" s="7">
        <v>24</v>
      </c>
      <c r="Q414" s="20">
        <v>99.76</v>
      </c>
    </row>
    <row r="415" spans="15:17" x14ac:dyDescent="0.25">
      <c r="O415" s="10">
        <v>175</v>
      </c>
      <c r="P415" s="9">
        <v>24</v>
      </c>
      <c r="Q415" s="21">
        <v>98.76</v>
      </c>
    </row>
    <row r="416" spans="15:17" x14ac:dyDescent="0.25">
      <c r="O416" s="8">
        <v>73</v>
      </c>
      <c r="P416" s="7">
        <v>24</v>
      </c>
      <c r="Q416" s="20">
        <v>97.76</v>
      </c>
    </row>
    <row r="417" spans="15:17" x14ac:dyDescent="0.25">
      <c r="O417" s="10">
        <v>101</v>
      </c>
      <c r="P417" s="9">
        <v>24</v>
      </c>
      <c r="Q417" s="21">
        <v>96.76</v>
      </c>
    </row>
    <row r="418" spans="15:17" x14ac:dyDescent="0.25">
      <c r="O418" s="8">
        <v>153</v>
      </c>
      <c r="P418" s="7">
        <v>24</v>
      </c>
      <c r="Q418" s="20">
        <v>94.76</v>
      </c>
    </row>
    <row r="419" spans="15:17" x14ac:dyDescent="0.25">
      <c r="O419" s="10">
        <v>130</v>
      </c>
      <c r="P419" s="9">
        <v>24</v>
      </c>
      <c r="Q419" s="21">
        <v>93.76</v>
      </c>
    </row>
    <row r="420" spans="15:17" x14ac:dyDescent="0.25">
      <c r="O420" s="8">
        <v>8</v>
      </c>
      <c r="P420" s="7">
        <v>24</v>
      </c>
      <c r="Q420" s="20">
        <v>92.76</v>
      </c>
    </row>
    <row r="421" spans="15:17" x14ac:dyDescent="0.25">
      <c r="O421" s="10">
        <v>104</v>
      </c>
      <c r="P421" s="9">
        <v>24</v>
      </c>
      <c r="Q421" s="21">
        <v>92.76</v>
      </c>
    </row>
    <row r="422" spans="15:17" x14ac:dyDescent="0.25">
      <c r="O422" s="8">
        <v>99</v>
      </c>
      <c r="P422" s="7">
        <v>24</v>
      </c>
      <c r="Q422" s="20">
        <v>91.76</v>
      </c>
    </row>
    <row r="423" spans="15:17" x14ac:dyDescent="0.25">
      <c r="O423" s="10">
        <v>382</v>
      </c>
      <c r="P423" s="9">
        <v>24</v>
      </c>
      <c r="Q423" s="21">
        <v>91.76</v>
      </c>
    </row>
    <row r="424" spans="15:17" x14ac:dyDescent="0.25">
      <c r="O424" s="8">
        <v>564</v>
      </c>
      <c r="P424" s="7">
        <v>24</v>
      </c>
      <c r="Q424" s="20">
        <v>91.76</v>
      </c>
    </row>
    <row r="425" spans="15:17" x14ac:dyDescent="0.25">
      <c r="O425" s="10">
        <v>34</v>
      </c>
      <c r="P425" s="9">
        <v>24</v>
      </c>
      <c r="Q425" s="21">
        <v>89.76</v>
      </c>
    </row>
    <row r="426" spans="15:17" x14ac:dyDescent="0.25">
      <c r="O426" s="8">
        <v>351</v>
      </c>
      <c r="P426" s="7">
        <v>24</v>
      </c>
      <c r="Q426" s="20">
        <v>89.76</v>
      </c>
    </row>
    <row r="427" spans="15:17" x14ac:dyDescent="0.25">
      <c r="O427" s="10">
        <v>534</v>
      </c>
      <c r="P427" s="9">
        <v>24</v>
      </c>
      <c r="Q427" s="21">
        <v>88.76</v>
      </c>
    </row>
    <row r="428" spans="15:17" x14ac:dyDescent="0.25">
      <c r="O428" s="8">
        <v>227</v>
      </c>
      <c r="P428" s="7">
        <v>24</v>
      </c>
      <c r="Q428" s="20">
        <v>87.76</v>
      </c>
    </row>
    <row r="429" spans="15:17" x14ac:dyDescent="0.25">
      <c r="O429" s="10">
        <v>455</v>
      </c>
      <c r="P429" s="9">
        <v>24</v>
      </c>
      <c r="Q429" s="21">
        <v>87.76</v>
      </c>
    </row>
    <row r="430" spans="15:17" x14ac:dyDescent="0.25">
      <c r="O430" s="8">
        <v>243</v>
      </c>
      <c r="P430" s="7">
        <v>24</v>
      </c>
      <c r="Q430" s="20">
        <v>82.76</v>
      </c>
    </row>
    <row r="431" spans="15:17" x14ac:dyDescent="0.25">
      <c r="O431" s="10">
        <v>527</v>
      </c>
      <c r="P431" s="9">
        <v>24</v>
      </c>
      <c r="Q431" s="21">
        <v>81.760000000000005</v>
      </c>
    </row>
    <row r="432" spans="15:17" x14ac:dyDescent="0.25">
      <c r="O432" s="8">
        <v>288</v>
      </c>
      <c r="P432" s="7">
        <v>24</v>
      </c>
      <c r="Q432" s="20">
        <v>80.760000000000005</v>
      </c>
    </row>
    <row r="433" spans="15:17" x14ac:dyDescent="0.25">
      <c r="O433" s="10">
        <v>557</v>
      </c>
      <c r="P433" s="9">
        <v>24</v>
      </c>
      <c r="Q433" s="21">
        <v>73.760000000000005</v>
      </c>
    </row>
    <row r="434" spans="15:17" x14ac:dyDescent="0.25">
      <c r="O434" s="8">
        <v>19</v>
      </c>
      <c r="P434" s="7">
        <v>24</v>
      </c>
      <c r="Q434" s="20">
        <v>125.76</v>
      </c>
    </row>
    <row r="435" spans="15:17" x14ac:dyDescent="0.25">
      <c r="O435" s="10">
        <v>571</v>
      </c>
      <c r="P435" s="9">
        <v>24</v>
      </c>
      <c r="Q435" s="21">
        <v>121.76</v>
      </c>
    </row>
    <row r="436" spans="15:17" x14ac:dyDescent="0.25">
      <c r="O436" s="8">
        <v>490</v>
      </c>
      <c r="P436" s="7">
        <v>24</v>
      </c>
      <c r="Q436" s="20">
        <v>117.76</v>
      </c>
    </row>
    <row r="437" spans="15:17" x14ac:dyDescent="0.25">
      <c r="O437" s="10">
        <v>585</v>
      </c>
      <c r="P437" s="9">
        <v>24</v>
      </c>
      <c r="Q437" s="21">
        <v>117.76</v>
      </c>
    </row>
    <row r="438" spans="15:17" x14ac:dyDescent="0.25">
      <c r="O438" s="8">
        <v>427</v>
      </c>
      <c r="P438" s="7">
        <v>24</v>
      </c>
      <c r="Q438" s="20">
        <v>114.76</v>
      </c>
    </row>
    <row r="439" spans="15:17" x14ac:dyDescent="0.25">
      <c r="O439" s="10">
        <v>540</v>
      </c>
      <c r="P439" s="9">
        <v>24</v>
      </c>
      <c r="Q439" s="21">
        <v>112.76</v>
      </c>
    </row>
    <row r="440" spans="15:17" x14ac:dyDescent="0.25">
      <c r="O440" s="8">
        <v>258</v>
      </c>
      <c r="P440" s="7">
        <v>24</v>
      </c>
      <c r="Q440" s="20">
        <v>110.76</v>
      </c>
    </row>
    <row r="441" spans="15:17" x14ac:dyDescent="0.25">
      <c r="O441" s="10">
        <v>375</v>
      </c>
      <c r="P441" s="9">
        <v>24</v>
      </c>
      <c r="Q441" s="21">
        <v>110.76</v>
      </c>
    </row>
    <row r="442" spans="15:17" x14ac:dyDescent="0.25">
      <c r="O442" s="8">
        <v>541</v>
      </c>
      <c r="P442" s="7">
        <v>24</v>
      </c>
      <c r="Q442" s="20">
        <v>108.76</v>
      </c>
    </row>
    <row r="443" spans="15:17" x14ac:dyDescent="0.25">
      <c r="O443" s="10">
        <v>127</v>
      </c>
      <c r="P443" s="9">
        <v>24</v>
      </c>
      <c r="Q443" s="21">
        <v>107.76</v>
      </c>
    </row>
    <row r="444" spans="15:17" x14ac:dyDescent="0.25">
      <c r="O444" s="8">
        <v>553</v>
      </c>
      <c r="P444" s="7">
        <v>24</v>
      </c>
      <c r="Q444" s="20">
        <v>107.76</v>
      </c>
    </row>
    <row r="445" spans="15:17" x14ac:dyDescent="0.25">
      <c r="O445" s="10">
        <v>11</v>
      </c>
      <c r="P445" s="9">
        <v>24</v>
      </c>
      <c r="Q445" s="21">
        <v>106.76</v>
      </c>
    </row>
    <row r="446" spans="15:17" x14ac:dyDescent="0.25">
      <c r="O446" s="8">
        <v>475</v>
      </c>
      <c r="P446" s="7">
        <v>24</v>
      </c>
      <c r="Q446" s="20">
        <v>103.76</v>
      </c>
    </row>
    <row r="447" spans="15:17" x14ac:dyDescent="0.25">
      <c r="O447" s="10">
        <v>100</v>
      </c>
      <c r="P447" s="9">
        <v>24</v>
      </c>
      <c r="Q447" s="21">
        <v>102.76</v>
      </c>
    </row>
    <row r="448" spans="15:17" x14ac:dyDescent="0.25">
      <c r="O448" s="8">
        <v>123</v>
      </c>
      <c r="P448" s="7">
        <v>24</v>
      </c>
      <c r="Q448" s="20">
        <v>100.76</v>
      </c>
    </row>
    <row r="449" spans="15:17" x14ac:dyDescent="0.25">
      <c r="O449" s="10">
        <v>192</v>
      </c>
      <c r="P449" s="9">
        <v>23</v>
      </c>
      <c r="Q449" s="21">
        <v>99.77</v>
      </c>
    </row>
    <row r="450" spans="15:17" x14ac:dyDescent="0.25">
      <c r="O450" s="8">
        <v>352</v>
      </c>
      <c r="P450" s="7">
        <v>23</v>
      </c>
      <c r="Q450" s="20">
        <v>99.77</v>
      </c>
    </row>
    <row r="451" spans="15:17" x14ac:dyDescent="0.25">
      <c r="O451" s="10">
        <v>437</v>
      </c>
      <c r="P451" s="9">
        <v>23</v>
      </c>
      <c r="Q451" s="21">
        <v>99.77</v>
      </c>
    </row>
    <row r="452" spans="15:17" x14ac:dyDescent="0.25">
      <c r="O452" s="8">
        <v>547</v>
      </c>
      <c r="P452" s="7">
        <v>23</v>
      </c>
      <c r="Q452" s="20">
        <v>99.77</v>
      </c>
    </row>
    <row r="453" spans="15:17" x14ac:dyDescent="0.25">
      <c r="O453" s="10">
        <v>180</v>
      </c>
      <c r="P453" s="9">
        <v>23</v>
      </c>
      <c r="Q453" s="21">
        <v>98.77</v>
      </c>
    </row>
    <row r="454" spans="15:17" x14ac:dyDescent="0.25">
      <c r="O454" s="8">
        <v>217</v>
      </c>
      <c r="P454" s="7">
        <v>23</v>
      </c>
      <c r="Q454" s="20">
        <v>98.77</v>
      </c>
    </row>
    <row r="455" spans="15:17" x14ac:dyDescent="0.25">
      <c r="O455" s="10">
        <v>37</v>
      </c>
      <c r="P455" s="9">
        <v>23</v>
      </c>
      <c r="Q455" s="21">
        <v>95.77</v>
      </c>
    </row>
    <row r="456" spans="15:17" x14ac:dyDescent="0.25">
      <c r="O456" s="8">
        <v>216</v>
      </c>
      <c r="P456" s="7">
        <v>23</v>
      </c>
      <c r="Q456" s="20">
        <v>95.77</v>
      </c>
    </row>
    <row r="457" spans="15:17" x14ac:dyDescent="0.25">
      <c r="O457" s="10">
        <v>291</v>
      </c>
      <c r="P457" s="9">
        <v>23</v>
      </c>
      <c r="Q457" s="21">
        <v>95.77</v>
      </c>
    </row>
    <row r="458" spans="15:17" x14ac:dyDescent="0.25">
      <c r="O458" s="8">
        <v>364</v>
      </c>
      <c r="P458" s="7">
        <v>23</v>
      </c>
      <c r="Q458" s="20">
        <v>95.77</v>
      </c>
    </row>
    <row r="459" spans="15:17" x14ac:dyDescent="0.25">
      <c r="O459" s="10">
        <v>431</v>
      </c>
      <c r="P459" s="9">
        <v>23</v>
      </c>
      <c r="Q459" s="21">
        <v>95.77</v>
      </c>
    </row>
    <row r="460" spans="15:17" x14ac:dyDescent="0.25">
      <c r="O460" s="8">
        <v>134</v>
      </c>
      <c r="P460" s="7">
        <v>23</v>
      </c>
      <c r="Q460" s="20">
        <v>94.77</v>
      </c>
    </row>
    <row r="461" spans="15:17" x14ac:dyDescent="0.25">
      <c r="O461" s="10">
        <v>415</v>
      </c>
      <c r="P461" s="9">
        <v>23</v>
      </c>
      <c r="Q461" s="21">
        <v>93.77</v>
      </c>
    </row>
    <row r="462" spans="15:17" x14ac:dyDescent="0.25">
      <c r="O462" s="8">
        <v>93</v>
      </c>
      <c r="P462" s="7">
        <v>23</v>
      </c>
      <c r="Q462" s="20">
        <v>91.77</v>
      </c>
    </row>
    <row r="463" spans="15:17" x14ac:dyDescent="0.25">
      <c r="O463" s="10">
        <v>392</v>
      </c>
      <c r="P463" s="9">
        <v>23</v>
      </c>
      <c r="Q463" s="21">
        <v>91.77</v>
      </c>
    </row>
    <row r="464" spans="15:17" x14ac:dyDescent="0.25">
      <c r="O464" s="8">
        <v>184</v>
      </c>
      <c r="P464" s="7">
        <v>23</v>
      </c>
      <c r="Q464" s="20">
        <v>90.77</v>
      </c>
    </row>
    <row r="465" spans="15:17" x14ac:dyDescent="0.25">
      <c r="O465" s="10">
        <v>328</v>
      </c>
      <c r="P465" s="9">
        <v>23</v>
      </c>
      <c r="Q465" s="21">
        <v>90.77</v>
      </c>
    </row>
    <row r="466" spans="15:17" x14ac:dyDescent="0.25">
      <c r="O466" s="8">
        <v>9</v>
      </c>
      <c r="P466" s="7">
        <v>23</v>
      </c>
      <c r="Q466" s="20">
        <v>89.77</v>
      </c>
    </row>
    <row r="467" spans="15:17" x14ac:dyDescent="0.25">
      <c r="O467" s="10">
        <v>233</v>
      </c>
      <c r="P467" s="9">
        <v>23</v>
      </c>
      <c r="Q467" s="21">
        <v>89.77</v>
      </c>
    </row>
    <row r="468" spans="15:17" x14ac:dyDescent="0.25">
      <c r="O468" s="8">
        <v>313</v>
      </c>
      <c r="P468" s="7">
        <v>23</v>
      </c>
      <c r="Q468" s="20">
        <v>89.77</v>
      </c>
    </row>
    <row r="469" spans="15:17" x14ac:dyDescent="0.25">
      <c r="O469" s="10">
        <v>85</v>
      </c>
      <c r="P469" s="9">
        <v>23</v>
      </c>
      <c r="Q469" s="21">
        <v>87.77</v>
      </c>
    </row>
    <row r="470" spans="15:17" x14ac:dyDescent="0.25">
      <c r="O470" s="8">
        <v>62</v>
      </c>
      <c r="P470" s="7">
        <v>23</v>
      </c>
      <c r="Q470" s="20">
        <v>84.77</v>
      </c>
    </row>
    <row r="471" spans="15:17" x14ac:dyDescent="0.25">
      <c r="O471" s="10">
        <v>185</v>
      </c>
      <c r="P471" s="9">
        <v>23</v>
      </c>
      <c r="Q471" s="21">
        <v>84.77</v>
      </c>
    </row>
    <row r="472" spans="15:17" x14ac:dyDescent="0.25">
      <c r="O472" s="8">
        <v>521</v>
      </c>
      <c r="P472" s="7">
        <v>23</v>
      </c>
      <c r="Q472" s="20">
        <v>80.77</v>
      </c>
    </row>
    <row r="473" spans="15:17" x14ac:dyDescent="0.25">
      <c r="O473" s="10">
        <v>335</v>
      </c>
      <c r="P473" s="9">
        <v>23</v>
      </c>
      <c r="Q473" s="21">
        <v>78.77</v>
      </c>
    </row>
    <row r="474" spans="15:17" x14ac:dyDescent="0.25">
      <c r="O474" s="8">
        <v>76</v>
      </c>
      <c r="P474" s="7">
        <v>23</v>
      </c>
      <c r="Q474" s="20">
        <v>77.77</v>
      </c>
    </row>
    <row r="475" spans="15:17" x14ac:dyDescent="0.25">
      <c r="O475" s="10">
        <v>183</v>
      </c>
      <c r="P475" s="9">
        <v>23</v>
      </c>
      <c r="Q475" s="21">
        <v>76.77</v>
      </c>
    </row>
    <row r="476" spans="15:17" x14ac:dyDescent="0.25">
      <c r="O476" s="8">
        <v>530</v>
      </c>
      <c r="P476" s="7">
        <v>23</v>
      </c>
      <c r="Q476" s="20">
        <v>76.77</v>
      </c>
    </row>
    <row r="477" spans="15:17" x14ac:dyDescent="0.25">
      <c r="O477" s="10">
        <v>350</v>
      </c>
      <c r="P477" s="9">
        <v>23</v>
      </c>
      <c r="Q477" s="21">
        <v>73.77</v>
      </c>
    </row>
    <row r="478" spans="15:17" x14ac:dyDescent="0.25">
      <c r="O478" s="8">
        <v>177</v>
      </c>
      <c r="P478" s="7">
        <v>23</v>
      </c>
      <c r="Q478" s="20">
        <v>71.77</v>
      </c>
    </row>
    <row r="479" spans="15:17" x14ac:dyDescent="0.25">
      <c r="O479" s="10">
        <v>311</v>
      </c>
      <c r="P479" s="9">
        <v>23</v>
      </c>
      <c r="Q479" s="21">
        <v>120.77</v>
      </c>
    </row>
    <row r="480" spans="15:17" x14ac:dyDescent="0.25">
      <c r="O480" s="8">
        <v>583</v>
      </c>
      <c r="P480" s="7">
        <v>23</v>
      </c>
      <c r="Q480" s="20">
        <v>117.77</v>
      </c>
    </row>
    <row r="481" spans="15:17" x14ac:dyDescent="0.25">
      <c r="O481" s="10">
        <v>432</v>
      </c>
      <c r="P481" s="9">
        <v>23</v>
      </c>
      <c r="Q481" s="21">
        <v>116.77</v>
      </c>
    </row>
    <row r="482" spans="15:17" x14ac:dyDescent="0.25">
      <c r="O482" s="8">
        <v>493</v>
      </c>
      <c r="P482" s="7">
        <v>23</v>
      </c>
      <c r="Q482" s="20">
        <v>112.77</v>
      </c>
    </row>
    <row r="483" spans="15:17" x14ac:dyDescent="0.25">
      <c r="O483" s="10">
        <v>453</v>
      </c>
      <c r="P483" s="9">
        <v>23</v>
      </c>
      <c r="Q483" s="21">
        <v>111.77</v>
      </c>
    </row>
    <row r="484" spans="15:17" x14ac:dyDescent="0.25">
      <c r="O484" s="8">
        <v>246</v>
      </c>
      <c r="P484" s="7">
        <v>23</v>
      </c>
      <c r="Q484" s="20">
        <v>107.77</v>
      </c>
    </row>
    <row r="485" spans="15:17" x14ac:dyDescent="0.25">
      <c r="O485" s="10">
        <v>249</v>
      </c>
      <c r="P485" s="9">
        <v>23</v>
      </c>
      <c r="Q485" s="21">
        <v>107.77</v>
      </c>
    </row>
    <row r="486" spans="15:17" x14ac:dyDescent="0.25">
      <c r="O486" s="8">
        <v>341</v>
      </c>
      <c r="P486" s="7">
        <v>23</v>
      </c>
      <c r="Q486" s="20">
        <v>106.77</v>
      </c>
    </row>
    <row r="487" spans="15:17" x14ac:dyDescent="0.25">
      <c r="O487" s="10">
        <v>345</v>
      </c>
      <c r="P487" s="9">
        <v>23</v>
      </c>
      <c r="Q487" s="21">
        <v>106.77</v>
      </c>
    </row>
    <row r="488" spans="15:17" x14ac:dyDescent="0.25">
      <c r="O488" s="8">
        <v>379</v>
      </c>
      <c r="P488" s="7">
        <v>23</v>
      </c>
      <c r="Q488" s="20">
        <v>106.77</v>
      </c>
    </row>
    <row r="489" spans="15:17" x14ac:dyDescent="0.25">
      <c r="O489" s="10">
        <v>409</v>
      </c>
      <c r="P489" s="9">
        <v>23</v>
      </c>
      <c r="Q489" s="21">
        <v>104.77</v>
      </c>
    </row>
    <row r="490" spans="15:17" x14ac:dyDescent="0.25">
      <c r="O490" s="8">
        <v>466</v>
      </c>
      <c r="P490" s="7">
        <v>23</v>
      </c>
      <c r="Q490" s="20">
        <v>104.77</v>
      </c>
    </row>
    <row r="491" spans="15:17" x14ac:dyDescent="0.25">
      <c r="O491" s="10">
        <v>365</v>
      </c>
      <c r="P491" s="9">
        <v>23</v>
      </c>
      <c r="Q491" s="21">
        <v>103.77</v>
      </c>
    </row>
    <row r="492" spans="15:17" x14ac:dyDescent="0.25">
      <c r="O492" s="8">
        <v>519</v>
      </c>
      <c r="P492" s="7">
        <v>23</v>
      </c>
      <c r="Q492" s="20">
        <v>103.77</v>
      </c>
    </row>
    <row r="493" spans="15:17" x14ac:dyDescent="0.25">
      <c r="O493" s="10">
        <v>106</v>
      </c>
      <c r="P493" s="9">
        <v>23</v>
      </c>
      <c r="Q493" s="21">
        <v>100.77</v>
      </c>
    </row>
    <row r="494" spans="15:17" x14ac:dyDescent="0.25">
      <c r="O494" s="8">
        <v>67</v>
      </c>
      <c r="P494" s="7">
        <v>22</v>
      </c>
      <c r="Q494" s="20">
        <v>99.78</v>
      </c>
    </row>
    <row r="495" spans="15:17" x14ac:dyDescent="0.25">
      <c r="O495" s="10">
        <v>443</v>
      </c>
      <c r="P495" s="9">
        <v>22</v>
      </c>
      <c r="Q495" s="21">
        <v>98.78</v>
      </c>
    </row>
    <row r="496" spans="15:17" x14ac:dyDescent="0.25">
      <c r="O496" s="8">
        <v>544</v>
      </c>
      <c r="P496" s="7">
        <v>22</v>
      </c>
      <c r="Q496" s="20">
        <v>98.78</v>
      </c>
    </row>
    <row r="497" spans="15:17" x14ac:dyDescent="0.25">
      <c r="O497" s="10">
        <v>578</v>
      </c>
      <c r="P497" s="9">
        <v>22</v>
      </c>
      <c r="Q497" s="21">
        <v>96.78</v>
      </c>
    </row>
    <row r="498" spans="15:17" x14ac:dyDescent="0.25">
      <c r="O498" s="8">
        <v>169</v>
      </c>
      <c r="P498" s="7">
        <v>22</v>
      </c>
      <c r="Q498" s="20">
        <v>95.78</v>
      </c>
    </row>
    <row r="499" spans="15:17" x14ac:dyDescent="0.25">
      <c r="O499" s="10">
        <v>476</v>
      </c>
      <c r="P499" s="9">
        <v>22</v>
      </c>
      <c r="Q499" s="21">
        <v>95.78</v>
      </c>
    </row>
    <row r="500" spans="15:17" x14ac:dyDescent="0.25">
      <c r="O500" s="8">
        <v>488</v>
      </c>
      <c r="P500" s="7">
        <v>22</v>
      </c>
      <c r="Q500" s="20">
        <v>95.78</v>
      </c>
    </row>
    <row r="501" spans="15:17" x14ac:dyDescent="0.25">
      <c r="O501" s="10">
        <v>68</v>
      </c>
      <c r="P501" s="9">
        <v>22</v>
      </c>
      <c r="Q501" s="21">
        <v>94.78</v>
      </c>
    </row>
    <row r="502" spans="15:17" x14ac:dyDescent="0.25">
      <c r="O502" s="8">
        <v>81</v>
      </c>
      <c r="P502" s="7">
        <v>22</v>
      </c>
      <c r="Q502" s="20">
        <v>93.78</v>
      </c>
    </row>
    <row r="503" spans="15:17" x14ac:dyDescent="0.25">
      <c r="O503" s="10">
        <v>189</v>
      </c>
      <c r="P503" s="9">
        <v>22</v>
      </c>
      <c r="Q503" s="21">
        <v>93.78</v>
      </c>
    </row>
    <row r="504" spans="15:17" x14ac:dyDescent="0.25">
      <c r="O504" s="8">
        <v>523</v>
      </c>
      <c r="P504" s="7">
        <v>22</v>
      </c>
      <c r="Q504" s="20">
        <v>93.78</v>
      </c>
    </row>
    <row r="505" spans="15:17" x14ac:dyDescent="0.25">
      <c r="O505" s="10">
        <v>18</v>
      </c>
      <c r="P505" s="9">
        <v>22</v>
      </c>
      <c r="Q505" s="21">
        <v>91.78</v>
      </c>
    </row>
    <row r="506" spans="15:17" x14ac:dyDescent="0.25">
      <c r="O506" s="8">
        <v>325</v>
      </c>
      <c r="P506" s="7">
        <v>22</v>
      </c>
      <c r="Q506" s="20">
        <v>91.78</v>
      </c>
    </row>
    <row r="507" spans="15:17" x14ac:dyDescent="0.25">
      <c r="O507" s="10">
        <v>539</v>
      </c>
      <c r="P507" s="9">
        <v>22</v>
      </c>
      <c r="Q507" s="21">
        <v>90.78</v>
      </c>
    </row>
    <row r="508" spans="15:17" x14ac:dyDescent="0.25">
      <c r="O508" s="8">
        <v>143</v>
      </c>
      <c r="P508" s="7">
        <v>22</v>
      </c>
      <c r="Q508" s="20">
        <v>89.78</v>
      </c>
    </row>
    <row r="509" spans="15:17" x14ac:dyDescent="0.25">
      <c r="O509" s="10">
        <v>440</v>
      </c>
      <c r="P509" s="9">
        <v>22</v>
      </c>
      <c r="Q509" s="21">
        <v>88.78</v>
      </c>
    </row>
    <row r="510" spans="15:17" x14ac:dyDescent="0.25">
      <c r="O510" s="8">
        <v>79</v>
      </c>
      <c r="P510" s="7">
        <v>22</v>
      </c>
      <c r="Q510" s="20">
        <v>84.78</v>
      </c>
    </row>
    <row r="511" spans="15:17" x14ac:dyDescent="0.25">
      <c r="O511" s="10">
        <v>394</v>
      </c>
      <c r="P511" s="9">
        <v>22</v>
      </c>
      <c r="Q511" s="21">
        <v>84.78</v>
      </c>
    </row>
    <row r="512" spans="15:17" x14ac:dyDescent="0.25">
      <c r="O512" s="8">
        <v>598</v>
      </c>
      <c r="P512" s="7">
        <v>22</v>
      </c>
      <c r="Q512" s="20">
        <v>83.78</v>
      </c>
    </row>
    <row r="513" spans="15:17" x14ac:dyDescent="0.25">
      <c r="O513" s="10">
        <v>543</v>
      </c>
      <c r="P513" s="9">
        <v>22</v>
      </c>
      <c r="Q513" s="21">
        <v>82.78</v>
      </c>
    </row>
    <row r="514" spans="15:17" x14ac:dyDescent="0.25">
      <c r="O514" s="8">
        <v>4</v>
      </c>
      <c r="P514" s="7">
        <v>22</v>
      </c>
      <c r="Q514" s="20">
        <v>81.78</v>
      </c>
    </row>
    <row r="515" spans="15:17" x14ac:dyDescent="0.25">
      <c r="O515" s="10">
        <v>430</v>
      </c>
      <c r="P515" s="9">
        <v>22</v>
      </c>
      <c r="Q515" s="21">
        <v>79.78</v>
      </c>
    </row>
    <row r="516" spans="15:17" x14ac:dyDescent="0.25">
      <c r="O516" s="8">
        <v>224</v>
      </c>
      <c r="P516" s="7">
        <v>22</v>
      </c>
      <c r="Q516" s="20">
        <v>76.78</v>
      </c>
    </row>
    <row r="517" spans="15:17" x14ac:dyDescent="0.25">
      <c r="O517" s="10">
        <v>514</v>
      </c>
      <c r="P517" s="9">
        <v>22</v>
      </c>
      <c r="Q517" s="21">
        <v>74.78</v>
      </c>
    </row>
    <row r="518" spans="15:17" x14ac:dyDescent="0.25">
      <c r="O518" s="8">
        <v>252</v>
      </c>
      <c r="P518" s="7">
        <v>22</v>
      </c>
      <c r="Q518" s="20">
        <v>64.78</v>
      </c>
    </row>
    <row r="519" spans="15:17" x14ac:dyDescent="0.25">
      <c r="O519" s="10">
        <v>321</v>
      </c>
      <c r="P519" s="9">
        <v>22</v>
      </c>
      <c r="Q519" s="21">
        <v>116.78</v>
      </c>
    </row>
    <row r="520" spans="15:17" x14ac:dyDescent="0.25">
      <c r="O520" s="8">
        <v>22</v>
      </c>
      <c r="P520" s="7">
        <v>22</v>
      </c>
      <c r="Q520" s="20">
        <v>113.78</v>
      </c>
    </row>
    <row r="521" spans="15:17" x14ac:dyDescent="0.25">
      <c r="O521" s="10">
        <v>477</v>
      </c>
      <c r="P521" s="9">
        <v>22</v>
      </c>
      <c r="Q521" s="21">
        <v>109.78</v>
      </c>
    </row>
    <row r="522" spans="15:17" x14ac:dyDescent="0.25">
      <c r="O522" s="8">
        <v>47</v>
      </c>
      <c r="P522" s="7">
        <v>22</v>
      </c>
      <c r="Q522" s="20">
        <v>108.78</v>
      </c>
    </row>
    <row r="523" spans="15:17" x14ac:dyDescent="0.25">
      <c r="O523" s="10">
        <v>247</v>
      </c>
      <c r="P523" s="9">
        <v>22</v>
      </c>
      <c r="Q523" s="21">
        <v>104.78</v>
      </c>
    </row>
    <row r="524" spans="15:17" x14ac:dyDescent="0.25">
      <c r="O524" s="8">
        <v>65</v>
      </c>
      <c r="P524" s="7">
        <v>22</v>
      </c>
      <c r="Q524" s="20">
        <v>103.78</v>
      </c>
    </row>
    <row r="525" spans="15:17" x14ac:dyDescent="0.25">
      <c r="O525" s="10">
        <v>367</v>
      </c>
      <c r="P525" s="9">
        <v>22</v>
      </c>
      <c r="Q525" s="21">
        <v>101.78</v>
      </c>
    </row>
    <row r="526" spans="15:17" x14ac:dyDescent="0.25">
      <c r="O526" s="8">
        <v>480</v>
      </c>
      <c r="P526" s="7">
        <v>22</v>
      </c>
      <c r="Q526" s="20">
        <v>101.78</v>
      </c>
    </row>
    <row r="527" spans="15:17" x14ac:dyDescent="0.25">
      <c r="O527" s="10">
        <v>554</v>
      </c>
      <c r="P527" s="9">
        <v>22</v>
      </c>
      <c r="Q527" s="21">
        <v>101.78</v>
      </c>
    </row>
    <row r="528" spans="15:17" x14ac:dyDescent="0.25">
      <c r="O528" s="8">
        <v>55</v>
      </c>
      <c r="P528" s="7">
        <v>22</v>
      </c>
      <c r="Q528" s="20">
        <v>100.78</v>
      </c>
    </row>
    <row r="529" spans="15:17" x14ac:dyDescent="0.25">
      <c r="O529" s="10">
        <v>489</v>
      </c>
      <c r="P529" s="9">
        <v>21</v>
      </c>
      <c r="Q529" s="21">
        <v>99.79</v>
      </c>
    </row>
    <row r="530" spans="15:17" x14ac:dyDescent="0.25">
      <c r="O530" s="8">
        <v>17</v>
      </c>
      <c r="P530" s="7">
        <v>21</v>
      </c>
      <c r="Q530" s="20">
        <v>98.79</v>
      </c>
    </row>
    <row r="531" spans="15:17" x14ac:dyDescent="0.25">
      <c r="O531" s="10">
        <v>505</v>
      </c>
      <c r="P531" s="9">
        <v>21</v>
      </c>
      <c r="Q531" s="21">
        <v>97.79</v>
      </c>
    </row>
    <row r="532" spans="15:17" x14ac:dyDescent="0.25">
      <c r="O532" s="8">
        <v>238</v>
      </c>
      <c r="P532" s="7">
        <v>21</v>
      </c>
      <c r="Q532" s="20">
        <v>94.79</v>
      </c>
    </row>
    <row r="533" spans="15:17" x14ac:dyDescent="0.25">
      <c r="O533" s="10">
        <v>174</v>
      </c>
      <c r="P533" s="9">
        <v>21</v>
      </c>
      <c r="Q533" s="21">
        <v>92.79</v>
      </c>
    </row>
    <row r="534" spans="15:17" x14ac:dyDescent="0.25">
      <c r="O534" s="8">
        <v>301</v>
      </c>
      <c r="P534" s="7">
        <v>21</v>
      </c>
      <c r="Q534" s="20">
        <v>92.79</v>
      </c>
    </row>
    <row r="535" spans="15:17" x14ac:dyDescent="0.25">
      <c r="O535" s="10">
        <v>33</v>
      </c>
      <c r="P535" s="9">
        <v>21</v>
      </c>
      <c r="Q535" s="21">
        <v>91.79</v>
      </c>
    </row>
    <row r="536" spans="15:17" x14ac:dyDescent="0.25">
      <c r="O536" s="8">
        <v>222</v>
      </c>
      <c r="P536" s="7">
        <v>21</v>
      </c>
      <c r="Q536" s="20">
        <v>91.79</v>
      </c>
    </row>
    <row r="537" spans="15:17" x14ac:dyDescent="0.25">
      <c r="O537" s="10">
        <v>399</v>
      </c>
      <c r="P537" s="9">
        <v>21</v>
      </c>
      <c r="Q537" s="21">
        <v>91.79</v>
      </c>
    </row>
    <row r="538" spans="15:17" x14ac:dyDescent="0.25">
      <c r="O538" s="8">
        <v>552</v>
      </c>
      <c r="P538" s="7">
        <v>21</v>
      </c>
      <c r="Q538" s="20">
        <v>90.79</v>
      </c>
    </row>
    <row r="539" spans="15:17" x14ac:dyDescent="0.25">
      <c r="O539" s="10">
        <v>501</v>
      </c>
      <c r="P539" s="9">
        <v>21</v>
      </c>
      <c r="Q539" s="21">
        <v>89.79</v>
      </c>
    </row>
    <row r="540" spans="15:17" x14ac:dyDescent="0.25">
      <c r="O540" s="8">
        <v>545</v>
      </c>
      <c r="P540" s="7">
        <v>21</v>
      </c>
      <c r="Q540" s="20">
        <v>89.79</v>
      </c>
    </row>
    <row r="541" spans="15:17" x14ac:dyDescent="0.25">
      <c r="O541" s="10">
        <v>496</v>
      </c>
      <c r="P541" s="9">
        <v>21</v>
      </c>
      <c r="Q541" s="21">
        <v>88.79</v>
      </c>
    </row>
    <row r="542" spans="15:17" x14ac:dyDescent="0.25">
      <c r="O542" s="8">
        <v>88</v>
      </c>
      <c r="P542" s="7">
        <v>21</v>
      </c>
      <c r="Q542" s="20">
        <v>87.79</v>
      </c>
    </row>
    <row r="543" spans="15:17" x14ac:dyDescent="0.25">
      <c r="O543" s="10">
        <v>226</v>
      </c>
      <c r="P543" s="9">
        <v>21</v>
      </c>
      <c r="Q543" s="21">
        <v>87.79</v>
      </c>
    </row>
    <row r="544" spans="15:17" x14ac:dyDescent="0.25">
      <c r="O544" s="8">
        <v>165</v>
      </c>
      <c r="P544" s="7">
        <v>21</v>
      </c>
      <c r="Q544" s="20">
        <v>86.79</v>
      </c>
    </row>
    <row r="545" spans="15:17" x14ac:dyDescent="0.25">
      <c r="O545" s="10">
        <v>412</v>
      </c>
      <c r="P545" s="9">
        <v>21</v>
      </c>
      <c r="Q545" s="21">
        <v>85.79</v>
      </c>
    </row>
    <row r="546" spans="15:17" x14ac:dyDescent="0.25">
      <c r="O546" s="8">
        <v>152</v>
      </c>
      <c r="P546" s="7">
        <v>21</v>
      </c>
      <c r="Q546" s="20">
        <v>83.79</v>
      </c>
    </row>
    <row r="547" spans="15:17" x14ac:dyDescent="0.25">
      <c r="O547" s="10">
        <v>556</v>
      </c>
      <c r="P547" s="9">
        <v>21</v>
      </c>
      <c r="Q547" s="21">
        <v>83.79</v>
      </c>
    </row>
    <row r="548" spans="15:17" x14ac:dyDescent="0.25">
      <c r="O548" s="8">
        <v>118</v>
      </c>
      <c r="P548" s="7">
        <v>21</v>
      </c>
      <c r="Q548" s="20">
        <v>82.79</v>
      </c>
    </row>
    <row r="549" spans="15:17" x14ac:dyDescent="0.25">
      <c r="O549" s="10">
        <v>358</v>
      </c>
      <c r="P549" s="9">
        <v>21</v>
      </c>
      <c r="Q549" s="21">
        <v>80.790000000000006</v>
      </c>
    </row>
    <row r="550" spans="15:17" x14ac:dyDescent="0.25">
      <c r="O550" s="8">
        <v>94</v>
      </c>
      <c r="P550" s="7">
        <v>21</v>
      </c>
      <c r="Q550" s="20">
        <v>79.790000000000006</v>
      </c>
    </row>
    <row r="551" spans="15:17" x14ac:dyDescent="0.25">
      <c r="O551" s="10">
        <v>420</v>
      </c>
      <c r="P551" s="9">
        <v>21</v>
      </c>
      <c r="Q551" s="21">
        <v>79.790000000000006</v>
      </c>
    </row>
    <row r="552" spans="15:17" x14ac:dyDescent="0.25">
      <c r="O552" s="8">
        <v>413</v>
      </c>
      <c r="P552" s="7">
        <v>21</v>
      </c>
      <c r="Q552" s="20">
        <v>75.790000000000006</v>
      </c>
    </row>
    <row r="553" spans="15:17" x14ac:dyDescent="0.25">
      <c r="O553" s="10">
        <v>401</v>
      </c>
      <c r="P553" s="9">
        <v>21</v>
      </c>
      <c r="Q553" s="21">
        <v>73.790000000000006</v>
      </c>
    </row>
    <row r="554" spans="15:17" x14ac:dyDescent="0.25">
      <c r="O554" s="8">
        <v>159</v>
      </c>
      <c r="P554" s="7">
        <v>21</v>
      </c>
      <c r="Q554" s="20">
        <v>68.790000000000006</v>
      </c>
    </row>
    <row r="555" spans="15:17" x14ac:dyDescent="0.25">
      <c r="O555" s="10">
        <v>568</v>
      </c>
      <c r="P555" s="9">
        <v>21</v>
      </c>
      <c r="Q555" s="21">
        <v>66.790000000000006</v>
      </c>
    </row>
    <row r="556" spans="15:17" x14ac:dyDescent="0.25">
      <c r="O556" s="8">
        <v>429</v>
      </c>
      <c r="P556" s="7">
        <v>21</v>
      </c>
      <c r="Q556" s="20">
        <v>105.79</v>
      </c>
    </row>
    <row r="557" spans="15:17" x14ac:dyDescent="0.25">
      <c r="O557" s="10">
        <v>449</v>
      </c>
      <c r="P557" s="9">
        <v>20</v>
      </c>
      <c r="Q557" s="21">
        <v>99.8</v>
      </c>
    </row>
    <row r="558" spans="15:17" x14ac:dyDescent="0.25">
      <c r="O558" s="8">
        <v>272</v>
      </c>
      <c r="P558" s="7">
        <v>20</v>
      </c>
      <c r="Q558" s="20">
        <v>98.8</v>
      </c>
    </row>
    <row r="559" spans="15:17" x14ac:dyDescent="0.25">
      <c r="O559" s="10">
        <v>310</v>
      </c>
      <c r="P559" s="9">
        <v>20</v>
      </c>
      <c r="Q559" s="21">
        <v>97.8</v>
      </c>
    </row>
    <row r="560" spans="15:17" x14ac:dyDescent="0.25">
      <c r="O560" s="8">
        <v>212</v>
      </c>
      <c r="P560" s="7">
        <v>20</v>
      </c>
      <c r="Q560" s="20">
        <v>91.8</v>
      </c>
    </row>
    <row r="561" spans="15:17" x14ac:dyDescent="0.25">
      <c r="O561" s="10">
        <v>203</v>
      </c>
      <c r="P561" s="9">
        <v>20</v>
      </c>
      <c r="Q561" s="21">
        <v>88.8</v>
      </c>
    </row>
    <row r="562" spans="15:17" x14ac:dyDescent="0.25">
      <c r="O562" s="8">
        <v>567</v>
      </c>
      <c r="P562" s="7">
        <v>20</v>
      </c>
      <c r="Q562" s="20">
        <v>85.8</v>
      </c>
    </row>
    <row r="563" spans="15:17" x14ac:dyDescent="0.25">
      <c r="O563" s="10">
        <v>402</v>
      </c>
      <c r="P563" s="9">
        <v>20</v>
      </c>
      <c r="Q563" s="21">
        <v>79.8</v>
      </c>
    </row>
    <row r="564" spans="15:17" x14ac:dyDescent="0.25">
      <c r="O564" s="8">
        <v>428</v>
      </c>
      <c r="P564" s="7">
        <v>20</v>
      </c>
      <c r="Q564" s="20">
        <v>78.8</v>
      </c>
    </row>
    <row r="565" spans="15:17" x14ac:dyDescent="0.25">
      <c r="O565" s="10">
        <v>549</v>
      </c>
      <c r="P565" s="9">
        <v>20</v>
      </c>
      <c r="Q565" s="21">
        <v>77.8</v>
      </c>
    </row>
    <row r="566" spans="15:17" x14ac:dyDescent="0.25">
      <c r="O566" s="8">
        <v>191</v>
      </c>
      <c r="P566" s="7">
        <v>20</v>
      </c>
      <c r="Q566" s="20">
        <v>74.8</v>
      </c>
    </row>
    <row r="567" spans="15:17" x14ac:dyDescent="0.25">
      <c r="O567" s="10">
        <v>250</v>
      </c>
      <c r="P567" s="9">
        <v>20</v>
      </c>
      <c r="Q567" s="21">
        <v>73.8</v>
      </c>
    </row>
    <row r="568" spans="15:17" x14ac:dyDescent="0.25">
      <c r="O568" s="8">
        <v>355</v>
      </c>
      <c r="P568" s="7">
        <v>20</v>
      </c>
      <c r="Q568" s="20">
        <v>72.8</v>
      </c>
    </row>
    <row r="569" spans="15:17" x14ac:dyDescent="0.25">
      <c r="O569" s="10">
        <v>162</v>
      </c>
      <c r="P569" s="9">
        <v>20</v>
      </c>
      <c r="Q569" s="21">
        <v>71.8</v>
      </c>
    </row>
    <row r="570" spans="15:17" x14ac:dyDescent="0.25">
      <c r="O570" s="8">
        <v>320</v>
      </c>
      <c r="P570" s="7">
        <v>20</v>
      </c>
      <c r="Q570" s="20">
        <v>71.8</v>
      </c>
    </row>
    <row r="571" spans="15:17" x14ac:dyDescent="0.25">
      <c r="O571" s="10">
        <v>509</v>
      </c>
      <c r="P571" s="9">
        <v>20</v>
      </c>
      <c r="Q571" s="21">
        <v>100.8</v>
      </c>
    </row>
    <row r="572" spans="15:17" x14ac:dyDescent="0.25">
      <c r="O572" s="8">
        <v>524</v>
      </c>
      <c r="P572" s="7">
        <v>19</v>
      </c>
      <c r="Q572" s="20">
        <v>87.81</v>
      </c>
    </row>
    <row r="573" spans="15:17" x14ac:dyDescent="0.25">
      <c r="O573" s="10">
        <v>195</v>
      </c>
      <c r="P573" s="9">
        <v>19</v>
      </c>
      <c r="Q573" s="21">
        <v>86.81</v>
      </c>
    </row>
    <row r="574" spans="15:17" x14ac:dyDescent="0.25">
      <c r="O574" s="8">
        <v>478</v>
      </c>
      <c r="P574" s="7">
        <v>19</v>
      </c>
      <c r="Q574" s="20">
        <v>86.81</v>
      </c>
    </row>
    <row r="575" spans="15:17" x14ac:dyDescent="0.25">
      <c r="O575" s="10">
        <v>599</v>
      </c>
      <c r="P575" s="9">
        <v>19</v>
      </c>
      <c r="Q575" s="21">
        <v>83.81</v>
      </c>
    </row>
    <row r="576" spans="15:17" x14ac:dyDescent="0.25">
      <c r="O576" s="8">
        <v>548</v>
      </c>
      <c r="P576" s="7">
        <v>19</v>
      </c>
      <c r="Q576" s="20">
        <v>79.81</v>
      </c>
    </row>
    <row r="577" spans="15:17" x14ac:dyDescent="0.25">
      <c r="O577" s="10">
        <v>525</v>
      </c>
      <c r="P577" s="9">
        <v>19</v>
      </c>
      <c r="Q577" s="21">
        <v>74.81</v>
      </c>
    </row>
    <row r="578" spans="15:17" x14ac:dyDescent="0.25">
      <c r="O578" s="8">
        <v>117</v>
      </c>
      <c r="P578" s="7">
        <v>19</v>
      </c>
      <c r="Q578" s="20">
        <v>71.81</v>
      </c>
    </row>
    <row r="579" spans="15:17" x14ac:dyDescent="0.25">
      <c r="O579" s="10">
        <v>378</v>
      </c>
      <c r="P579" s="9">
        <v>19</v>
      </c>
      <c r="Q579" s="21">
        <v>71.81</v>
      </c>
    </row>
    <row r="580" spans="15:17" x14ac:dyDescent="0.25">
      <c r="O580" s="8">
        <v>370</v>
      </c>
      <c r="P580" s="7">
        <v>19</v>
      </c>
      <c r="Q580" s="20">
        <v>70.81</v>
      </c>
    </row>
    <row r="581" spans="15:17" x14ac:dyDescent="0.25">
      <c r="O581" s="10">
        <v>458</v>
      </c>
      <c r="P581" s="9">
        <v>19</v>
      </c>
      <c r="Q581" s="21">
        <v>66.81</v>
      </c>
    </row>
    <row r="582" spans="15:17" x14ac:dyDescent="0.25">
      <c r="O582" s="8">
        <v>586</v>
      </c>
      <c r="P582" s="7">
        <v>19</v>
      </c>
      <c r="Q582" s="20">
        <v>64.81</v>
      </c>
    </row>
    <row r="583" spans="15:17" x14ac:dyDescent="0.25">
      <c r="O583" s="10">
        <v>395</v>
      </c>
      <c r="P583" s="9">
        <v>19</v>
      </c>
      <c r="Q583" s="21">
        <v>57.81</v>
      </c>
    </row>
    <row r="584" spans="15:17" x14ac:dyDescent="0.25">
      <c r="O584" s="8">
        <v>542</v>
      </c>
      <c r="P584" s="7">
        <v>18</v>
      </c>
      <c r="Q584" s="20">
        <v>94.82</v>
      </c>
    </row>
    <row r="585" spans="15:17" x14ac:dyDescent="0.25">
      <c r="O585" s="10">
        <v>483</v>
      </c>
      <c r="P585" s="9">
        <v>18</v>
      </c>
      <c r="Q585" s="21">
        <v>88.82</v>
      </c>
    </row>
    <row r="586" spans="15:17" x14ac:dyDescent="0.25">
      <c r="O586" s="8">
        <v>194</v>
      </c>
      <c r="P586" s="7">
        <v>18</v>
      </c>
      <c r="Q586" s="20">
        <v>87.82</v>
      </c>
    </row>
    <row r="587" spans="15:17" x14ac:dyDescent="0.25">
      <c r="O587" s="10">
        <v>140</v>
      </c>
      <c r="P587" s="9">
        <v>18</v>
      </c>
      <c r="Q587" s="21">
        <v>83.82</v>
      </c>
    </row>
    <row r="588" spans="15:17" x14ac:dyDescent="0.25">
      <c r="O588" s="8">
        <v>70</v>
      </c>
      <c r="P588" s="7">
        <v>18</v>
      </c>
      <c r="Q588" s="20">
        <v>80.819999999999993</v>
      </c>
    </row>
    <row r="589" spans="15:17" x14ac:dyDescent="0.25">
      <c r="O589" s="10">
        <v>205</v>
      </c>
      <c r="P589" s="9">
        <v>18</v>
      </c>
      <c r="Q589" s="21">
        <v>80.819999999999993</v>
      </c>
    </row>
    <row r="590" spans="15:17" x14ac:dyDescent="0.25">
      <c r="O590" s="8">
        <v>95</v>
      </c>
      <c r="P590" s="7">
        <v>18</v>
      </c>
      <c r="Q590" s="20">
        <v>77.819999999999993</v>
      </c>
    </row>
    <row r="591" spans="15:17" x14ac:dyDescent="0.25">
      <c r="O591" s="10">
        <v>124</v>
      </c>
      <c r="P591" s="9">
        <v>18</v>
      </c>
      <c r="Q591" s="21">
        <v>73.819999999999993</v>
      </c>
    </row>
    <row r="592" spans="15:17" x14ac:dyDescent="0.25">
      <c r="O592" s="8">
        <v>344</v>
      </c>
      <c r="P592" s="7">
        <v>18</v>
      </c>
      <c r="Q592" s="20">
        <v>73.819999999999993</v>
      </c>
    </row>
    <row r="593" spans="15:17" x14ac:dyDescent="0.25">
      <c r="O593" s="10">
        <v>353</v>
      </c>
      <c r="P593" s="9">
        <v>18</v>
      </c>
      <c r="Q593" s="21">
        <v>72.819999999999993</v>
      </c>
    </row>
    <row r="594" spans="15:17" x14ac:dyDescent="0.25">
      <c r="O594" s="8">
        <v>255</v>
      </c>
      <c r="P594" s="7">
        <v>18</v>
      </c>
      <c r="Q594" s="20">
        <v>70.819999999999993</v>
      </c>
    </row>
    <row r="595" spans="15:17" x14ac:dyDescent="0.25">
      <c r="O595" s="10">
        <v>271</v>
      </c>
      <c r="P595" s="9">
        <v>18</v>
      </c>
      <c r="Q595" s="21">
        <v>68.819999999999993</v>
      </c>
    </row>
    <row r="596" spans="15:17" x14ac:dyDescent="0.25">
      <c r="O596" s="8">
        <v>218</v>
      </c>
      <c r="P596" s="7">
        <v>18</v>
      </c>
      <c r="Q596" s="20">
        <v>67.819999999999993</v>
      </c>
    </row>
    <row r="597" spans="15:17" x14ac:dyDescent="0.25">
      <c r="O597" s="10">
        <v>97</v>
      </c>
      <c r="P597" s="9">
        <v>18</v>
      </c>
      <c r="Q597" s="21">
        <v>58.82</v>
      </c>
    </row>
    <row r="598" spans="15:17" x14ac:dyDescent="0.25">
      <c r="O598" s="8">
        <v>315</v>
      </c>
      <c r="P598" s="7">
        <v>17</v>
      </c>
      <c r="Q598" s="20">
        <v>84.83</v>
      </c>
    </row>
    <row r="599" spans="15:17" x14ac:dyDescent="0.25">
      <c r="O599" s="10">
        <v>223</v>
      </c>
      <c r="P599" s="9">
        <v>17</v>
      </c>
      <c r="Q599" s="21">
        <v>80.83</v>
      </c>
    </row>
    <row r="600" spans="15:17" x14ac:dyDescent="0.25">
      <c r="O600" s="8">
        <v>48</v>
      </c>
      <c r="P600" s="7">
        <v>17</v>
      </c>
      <c r="Q600" s="20">
        <v>76.83</v>
      </c>
    </row>
    <row r="601" spans="15:17" x14ac:dyDescent="0.25">
      <c r="O601" s="10">
        <v>555</v>
      </c>
      <c r="P601" s="9">
        <v>17</v>
      </c>
      <c r="Q601" s="21">
        <v>74.83</v>
      </c>
    </row>
    <row r="602" spans="15:17" x14ac:dyDescent="0.25">
      <c r="O602" s="8">
        <v>465</v>
      </c>
      <c r="P602" s="7">
        <v>17</v>
      </c>
      <c r="Q602" s="20">
        <v>69.83</v>
      </c>
    </row>
    <row r="603" spans="15:17" x14ac:dyDescent="0.25">
      <c r="O603" s="10">
        <v>398</v>
      </c>
      <c r="P603" s="9">
        <v>16</v>
      </c>
      <c r="Q603" s="21">
        <v>78.84</v>
      </c>
    </row>
    <row r="604" spans="15:17" x14ac:dyDescent="0.25">
      <c r="O604" s="8">
        <v>464</v>
      </c>
      <c r="P604" s="7">
        <v>16</v>
      </c>
      <c r="Q604" s="20">
        <v>73.84</v>
      </c>
    </row>
    <row r="605" spans="15:17" x14ac:dyDescent="0.25">
      <c r="O605" s="10">
        <v>164</v>
      </c>
      <c r="P605" s="9">
        <v>16</v>
      </c>
      <c r="Q605" s="21">
        <v>66.84</v>
      </c>
    </row>
    <row r="606" spans="15:17" x14ac:dyDescent="0.25">
      <c r="O606" s="8">
        <v>492</v>
      </c>
      <c r="P606" s="7">
        <v>16</v>
      </c>
      <c r="Q606" s="20">
        <v>65.84</v>
      </c>
    </row>
    <row r="607" spans="15:17" x14ac:dyDescent="0.25">
      <c r="O607" s="10">
        <v>136</v>
      </c>
      <c r="P607" s="9">
        <v>15</v>
      </c>
      <c r="Q607" s="21">
        <v>62.85</v>
      </c>
    </row>
    <row r="608" spans="15:17" x14ac:dyDescent="0.25">
      <c r="O608" s="8">
        <v>248</v>
      </c>
      <c r="P608" s="7">
        <v>15</v>
      </c>
      <c r="Q608" s="20">
        <v>50.85</v>
      </c>
    </row>
    <row r="609" spans="15:17" x14ac:dyDescent="0.25">
      <c r="O609" s="10">
        <v>110</v>
      </c>
      <c r="P609" s="9">
        <v>14</v>
      </c>
      <c r="Q609" s="21">
        <v>59.86</v>
      </c>
    </row>
    <row r="610" spans="15:17" x14ac:dyDescent="0.25">
      <c r="O610" s="8">
        <v>61</v>
      </c>
      <c r="P610" s="7">
        <v>14</v>
      </c>
      <c r="Q610" s="20">
        <v>58.86</v>
      </c>
    </row>
    <row r="611" spans="15:17" x14ac:dyDescent="0.25">
      <c r="O611" s="10">
        <v>281</v>
      </c>
      <c r="P611" s="9">
        <v>14</v>
      </c>
      <c r="Q611" s="21">
        <v>50.86</v>
      </c>
    </row>
    <row r="612" spans="15:17" x14ac:dyDescent="0.25">
      <c r="O612" s="8">
        <v>318</v>
      </c>
      <c r="P612" s="7">
        <v>12</v>
      </c>
      <c r="Q612" s="20">
        <v>52.88</v>
      </c>
    </row>
  </sheetData>
  <mergeCells count="1">
    <mergeCell ref="A2:S4"/>
  </mergeCells>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80FF28-737D-4F47-9022-D44C05610F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Explications</vt:lpstr>
      <vt:lpstr>Données</vt:lpstr>
      <vt:lpstr>Requête_SQL</vt:lpstr>
      <vt:lpstr>Schéma</vt:lpstr>
      <vt:lpstr>Catégorie_film</vt:lpstr>
      <vt:lpstr>Vision_clients</vt:lpstr>
      <vt:lpstr>Vision_location</vt:lpstr>
      <vt:lpstr>Conclusion</vt:lpstr>
    </vt:vector>
  </TitlesOfParts>
  <Manager/>
  <Company>Office_2021</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MARCHAL Lou</dc:creator>
  <cp:keywords/>
  <dc:description/>
  <cp:lastModifiedBy>DANLOS Florent</cp:lastModifiedBy>
  <cp:revision/>
  <dcterms:created xsi:type="dcterms:W3CDTF">2026-01-16T11:39:36Z</dcterms:created>
  <dcterms:modified xsi:type="dcterms:W3CDTF">2026-01-16T16:31:39Z</dcterms:modified>
  <cp:category/>
  <cp:contentStatus/>
</cp:coreProperties>
</file>